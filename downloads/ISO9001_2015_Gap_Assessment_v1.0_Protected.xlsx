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lockStructure="1"/>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Checklist" sheetId="3" state="visible" r:id="rId5"/>
    <sheet name="AI Use Guide" sheetId="4" state="visible" r:id="rId6"/>
  </sheets>
  <definedNames>
    <definedName function="false" hidden="true" localSheetId="2" name="_xlnm._FilterDatabase" vbProcedure="false">Checklist!$A$1:$L$37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<sst xmlns="http://schemas.openxmlformats.org/spreadsheetml/2006/main" count="385" uniqueCount="342">
  <si>
    <t xml:space="preserve">ISO 9001:2015 Gap Assessment Workbook</t>
  </si>
  <si>
    <t xml:space="preserve">Clauses 4–10 | Field tool for client readiness assessments</t>
  </si>
  <si>
    <t xml:space="preserve">How to use</t>
  </si>
  <si>
    <t xml:space="preserve">1. Set up</t>
  </si>
  <si>
    <t xml:space="preserve">Enter the client, site, scope, auditor and date on the Summary sheet.</t>
  </si>
  <si>
    <t xml:space="preserve">2. Assess</t>
  </si>
  <si>
    <t xml:space="preserve">On the Checklist sheet, work clause by clause: ask the audit question, request the evidence, and compare against the common findings.</t>
  </si>
  <si>
    <t xml:space="preserve">3. Record</t>
  </si>
  <si>
    <t xml:space="preserve">Fill the shaded cells only: Status (dropdown), Evidence seen / notes, Owner, Target date.</t>
  </si>
  <si>
    <t xml:space="preserve">4. Review</t>
  </si>
  <si>
    <t xml:space="preserve">The Summary sheet updates automatically from your statuses.</t>
  </si>
  <si>
    <t xml:space="preserve">Status values</t>
  </si>
  <si>
    <t xml:space="preserve">Conforming | Minor gap | Major gap | Not applicable (justify in notes) | Not assessed (default)</t>
  </si>
  <si>
    <t xml:space="preserve">Legend</t>
  </si>
  <si>
    <t xml:space="preserve">Shaded cream cells = your input. Everything else is reference content or formulas.</t>
  </si>
  <si>
    <t xml:space="preserve">Important</t>
  </si>
  <si>
    <t xml:space="preserve">Clause text is paraphrased for field use. Always verify requirements against the licensed standard. This workbook supports, and does not replace, auditor judgment. Findings are indicative, not a certification decision.</t>
  </si>
  <si>
    <t xml:space="preserve">AI-assisted use</t>
  </si>
  <si>
    <t xml:space="preserve">See the AI Use Guide sheet for where AI helps, what to keep out of it, and starter prompts.</t>
  </si>
  <si>
    <t xml:space="preserve">Example of a completed row</t>
  </si>
  <si>
    <t xml:space="preserve">Ref / Clause</t>
  </si>
  <si>
    <t xml:space="preserve">7.1.5 Monitoring and measuring resources</t>
  </si>
  <si>
    <t xml:space="preserve">Status</t>
  </si>
  <si>
    <t xml:space="preserve">Minor gap</t>
  </si>
  <si>
    <t xml:space="preserve">Evidence seen / notes</t>
  </si>
  <si>
    <t xml:space="preserve">Calibration register reviewed; 3 of 40 gauges past due date (micrometers M-12, M-17, M-22). No impact assessment on file for M-17 found out of tolerance in March.</t>
  </si>
  <si>
    <t xml:space="preserve">Owner</t>
  </si>
  <si>
    <t xml:space="preserve">Quality Manager</t>
  </si>
  <si>
    <t xml:space="preserve">Target date</t>
  </si>
  <si>
    <t xml:space="preserve">2026-11-30</t>
  </si>
  <si>
    <t xml:space="preserve">Copyright</t>
  </si>
  <si>
    <t xml:space="preserve">© 2026 Cristian La Bella Consulting. All rights reserved. Not for resale or redistribution without written permission. This workbook is provided for professional and informational purposes only and does not constitute certification, legal or regulatory advice. ISO 9001 is a trademark of its respective owner; clause references are paraphrased and do not replace the licensed standard.</t>
  </si>
  <si>
    <t xml:space="preserve">Assessment Summary</t>
  </si>
  <si>
    <t xml:space="preserve">Client</t>
  </si>
  <si>
    <t xml:space="preserve">Site / scope</t>
  </si>
  <si>
    <t xml:space="preserve">Auditor</t>
  </si>
  <si>
    <t xml:space="preserve">Assessment date</t>
  </si>
  <si>
    <t xml:space="preserve">Clause</t>
  </si>
  <si>
    <t xml:space="preserve">Items</t>
  </si>
  <si>
    <t xml:space="preserve">Conforming</t>
  </si>
  <si>
    <t xml:space="preserve">Major gap</t>
  </si>
  <si>
    <t xml:space="preserve">Not applicable</t>
  </si>
  <si>
    <t xml:space="preserve">Not assessed</t>
  </si>
  <si>
    <t xml:space="preserve">Conformity %</t>
  </si>
  <si>
    <t xml:space="preserve">4 Context of the organization</t>
  </si>
  <si>
    <t xml:space="preserve">5 Leadership</t>
  </si>
  <si>
    <t xml:space="preserve">6 Planning</t>
  </si>
  <si>
    <t xml:space="preserve">7 Support</t>
  </si>
  <si>
    <t xml:space="preserve">8 Operation</t>
  </si>
  <si>
    <t xml:space="preserve">9 Performance evaluation</t>
  </si>
  <si>
    <t xml:space="preserve">10 Improvement</t>
  </si>
  <si>
    <t xml:space="preserve">TOTAL</t>
  </si>
  <si>
    <t xml:space="preserve">Assessed %</t>
  </si>
  <si>
    <t xml:space="preserve">Open gaps (minor + major)</t>
  </si>
  <si>
    <t xml:space="preserve">Note</t>
  </si>
  <si>
    <t xml:space="preserve">Conformity % = Conforming ÷ (Items − Not applicable − Not assessed). Items with no status yet are excluded until assessed. Indicative readiness measure only; not a certification outcome.</t>
  </si>
  <si>
    <t xml:space="preserve">© 2026 Cristian La Bella Consulting. All rights reserved. Not for resale or redistribution without written permission.</t>
  </si>
  <si>
    <t xml:space="preserve">Title</t>
  </si>
  <si>
    <t xml:space="preserve">Requirement (paraphrased)</t>
  </si>
  <si>
    <t xml:space="preserve">Audit question</t>
  </si>
  <si>
    <t xml:space="preserve">Objective evidence to request</t>
  </si>
  <si>
    <t xml:space="preserve">Common findings</t>
  </si>
  <si>
    <t xml:space="preserve">Follow-up questions</t>
  </si>
  <si>
    <t xml:space="preserve">Main clause</t>
  </si>
  <si>
    <t xml:space="preserve">4.1</t>
  </si>
  <si>
    <t xml:space="preserve">Context of the organization</t>
  </si>
  <si>
    <t xml:space="preserve">Determine external and internal issues relevant to purpose and strategic direction, and monitor them.</t>
  </si>
  <si>
    <t xml:space="preserve">How does the organization identify and review the issues that affect its ability to deliver conforming products?</t>
  </si>
  <si>
    <t xml:space="preserve">Documented context analysis (e.g. SWOT/PESTLE), strategy or business plan, management review inputs.</t>
  </si>
  <si>
    <t xml:space="preserve">Context analysis exists but is never reviewed or linked to risk planning; generic text copied from a template.</t>
  </si>
  <si>
    <t xml:space="preserve">When was it last updated? Which issue led to an actual change in the QMS?</t>
  </si>
  <si>
    <t xml:space="preserve">4.2</t>
  </si>
  <si>
    <t xml:space="preserve">Interested parties</t>
  </si>
  <si>
    <t xml:space="preserve">Determine relevant interested parties and their requirements, and monitor them.</t>
  </si>
  <si>
    <t xml:space="preserve">Who are the relevant interested parties and which of their requirements become QMS requirements?</t>
  </si>
  <si>
    <t xml:space="preserve">Interested-party register, customer contracts and flow-downs, regulatory requirements list.</t>
  </si>
  <si>
    <t xml:space="preserve">Register lists parties but not their requirements; regulators and key suppliers missing.</t>
  </si>
  <si>
    <t xml:space="preserve">How are changes in customer or regulatory requirements captured and communicated?</t>
  </si>
  <si>
    <t xml:space="preserve">4.3</t>
  </si>
  <si>
    <t xml:space="preserve">Scope of the QMS</t>
  </si>
  <si>
    <t xml:space="preserve">Define boundaries and applicability of the QMS, including products, services and justified exclusions.</t>
  </si>
  <si>
    <t xml:space="preserve">What is the QMS scope, and is any requirement excluded? What is the justification?</t>
  </si>
  <si>
    <t xml:space="preserve">Scope statement, site list, product/service list, exclusion justification.</t>
  </si>
  <si>
    <t xml:space="preserve">Scope does not match actual activities; exclusions (e.g. design) not justified or contradicted by practice.</t>
  </si>
  <si>
    <t xml:space="preserve">Does the scope cover all sites, shifts and outsourced processes affecting conformity?</t>
  </si>
  <si>
    <t xml:space="preserve">4.4</t>
  </si>
  <si>
    <t xml:space="preserve">QMS and its processes</t>
  </si>
  <si>
    <t xml:space="preserve">Establish the processes needed, their inputs, outputs, sequence, interaction, criteria, resources, responsibilities and risks.</t>
  </si>
  <si>
    <t xml:space="preserve">Can you show the process map and how each process is controlled and measured?</t>
  </si>
  <si>
    <t xml:space="preserve">Process map or turtle diagrams, process owners list, KPIs per process, procedures.</t>
  </si>
  <si>
    <t xml:space="preserve">Processes defined on paper but no owner or measurable output; interactions between processes unclear.</t>
  </si>
  <si>
    <t xml:space="preserve">Who owns each process? How does a KPI trigger action when off target?</t>
  </si>
  <si>
    <t xml:space="preserve">5.1</t>
  </si>
  <si>
    <t xml:space="preserve">Leadership and commitment (incl. customer focus)</t>
  </si>
  <si>
    <t xml:space="preserve">Top management takes accountability for the QMS, integrates it into business, promotes process approach and risk-based thinking, and maintains customer focus.</t>
  </si>
  <si>
    <t xml:space="preserve">How does top management demonstrate ownership of the QMS and focus on customer requirements and satisfaction?</t>
  </si>
  <si>
    <t xml:space="preserve">Management review minutes, resourcing decisions, customer-requirement reviews, delivery and quality KPI reviews.</t>
  </si>
  <si>
    <t xml:space="preserve">Quality delegated entirely to the quality manager; management cannot explain objectives or KPIs.</t>
  </si>
  <si>
    <t xml:space="preserve">What decisions did top management take in the last 12 months because of QMS data?</t>
  </si>
  <si>
    <t xml:space="preserve">5.2</t>
  </si>
  <si>
    <t xml:space="preserve">Quality policy</t>
  </si>
  <si>
    <t xml:space="preserve">Establish, communicate, maintain and make available a quality policy that fits context and supports objectives.</t>
  </si>
  <si>
    <t xml:space="preserve">Is the policy appropriate, communicated, understood and available to interested parties?</t>
  </si>
  <si>
    <t xml:space="preserve">Signed and current policy, display locations, induction material, staff interview responses.</t>
  </si>
  <si>
    <t xml:space="preserve">Policy outdated or not understood by staff; no link to objectives.</t>
  </si>
  <si>
    <t xml:space="preserve">Ask three employees what the policy means for their job.</t>
  </si>
  <si>
    <t xml:space="preserve">5.3</t>
  </si>
  <si>
    <t xml:space="preserve">Roles, responsibilities and authorities</t>
  </si>
  <si>
    <t xml:space="preserve">Assign and communicate responsibilities and authorities for QMS roles, including reporting on performance.</t>
  </si>
  <si>
    <t xml:space="preserve">How are QMS responsibilities and authorities assigned and communicated?</t>
  </si>
  <si>
    <t xml:space="preserve">Organization chart, job descriptions, authority matrix, appointment letters.</t>
  </si>
  <si>
    <t xml:space="preserve">Org chart outdated; no clear person with authority to stop nonconforming work or report QMS performance.</t>
  </si>
  <si>
    <t xml:space="preserve">Who can stop a shipment? Is that authority written down?</t>
  </si>
  <si>
    <t xml:space="preserve">6.1</t>
  </si>
  <si>
    <t xml:space="preserve">Risks and opportunities</t>
  </si>
  <si>
    <t xml:space="preserve">Plan actions to address risks and opportunities, integrate them into QMS processes and evaluate effectiveness.</t>
  </si>
  <si>
    <t xml:space="preserve">How were risks and opportunities determined, and how are the resulting actions tracked for effectiveness?</t>
  </si>
  <si>
    <t xml:space="preserve">Risk register, FMEA, action plans, evidence of effectiveness review.</t>
  </si>
  <si>
    <t xml:space="preserve">Single risk list made once for the audit; no actions, owners or effectiveness check.</t>
  </si>
  <si>
    <t xml:space="preserve">Show a risk that materialized. Was it anticipated?</t>
  </si>
  <si>
    <t xml:space="preserve">6.2</t>
  </si>
  <si>
    <t xml:space="preserve">Quality objectives</t>
  </si>
  <si>
    <t xml:space="preserve">Set measurable quality objectives at relevant functions and levels, with plans to achieve them.</t>
  </si>
  <si>
    <t xml:space="preserve">What are the quality objectives, who owns them and how are they monitored?</t>
  </si>
  <si>
    <t xml:space="preserve">Objectives with targets, owners, methods and timelines; monitoring records.</t>
  </si>
  <si>
    <t xml:space="preserve">Objectives not measurable or not tracked; no plan to achieve them.</t>
  </si>
  <si>
    <t xml:space="preserve">What happened when an objective was missed?</t>
  </si>
  <si>
    <t xml:space="preserve">6.3</t>
  </si>
  <si>
    <t xml:space="preserve">Planning of changes</t>
  </si>
  <si>
    <t xml:space="preserve">Carry out changes to the QMS in a planned manner considering purpose, consequences, resources and responsibilities.</t>
  </si>
  <si>
    <t xml:space="preserve">How are QMS changes (new process, site, system, organization) planned and controlled?</t>
  </si>
  <si>
    <t xml:space="preserve">Change records, impact assessments, communication records.</t>
  </si>
  <si>
    <t xml:space="preserve">Changes made informally; no assessment of impact on QMS integrity.</t>
  </si>
  <si>
    <t xml:space="preserve">Show the last significant change and how its impact was evaluated.</t>
  </si>
  <si>
    <t xml:space="preserve">7.1.1-7.1.4</t>
  </si>
  <si>
    <t xml:space="preserve">Resources: general, people, infrastructure, environment</t>
  </si>
  <si>
    <t xml:space="preserve">Determine and provide people, infrastructure and the environment needed for process operation and conformity of products.</t>
  </si>
  <si>
    <t xml:space="preserve">How does the organization determine and provide the people, equipment and working environment it needs?</t>
  </si>
  <si>
    <t xml:space="preserve">Resource plans, headcount versus workload, maintenance schedules and records, environmental controls (temperature, cleanliness, ESD).</t>
  </si>
  <si>
    <t xml:space="preserve">Preventive maintenance overdue; environmental conditions not monitored where they affect product.</t>
  </si>
  <si>
    <t xml:space="preserve">How are resource gaps escalated? Show the maintenance backlog.</t>
  </si>
  <si>
    <t xml:space="preserve">7.1.5</t>
  </si>
  <si>
    <t xml:space="preserve">Monitoring and measuring resources</t>
  </si>
  <si>
    <t xml:space="preserve">Ensure measurement equipment is suitable, maintained, calibrated or verified against traceable standards, and protected from invalidation.</t>
  </si>
  <si>
    <t xml:space="preserve">How is measurement equipment controlled and what happens when it is found out of tolerance?</t>
  </si>
  <si>
    <t xml:space="preserve">Calibration register, certificates with traceability, out-of-tolerance impact assessments, labelling.</t>
  </si>
  <si>
    <t xml:space="preserve">Overdue calibration; no impact assessment for out-of-tolerance finds; uncontrolled personal tools.</t>
  </si>
  <si>
    <t xml:space="preserve">Pick five gauges at random and trace each to its certificate.</t>
  </si>
  <si>
    <t xml:space="preserve">7.1.6</t>
  </si>
  <si>
    <t xml:space="preserve">Organizational knowledge</t>
  </si>
  <si>
    <t xml:space="preserve">Determine the knowledge needed for process operation and conformity, and keep it available.</t>
  </si>
  <si>
    <t xml:space="preserve">How does the organization capture and retain critical knowledge and lessons learned?</t>
  </si>
  <si>
    <t xml:space="preserve">Lessons-learned records, knowledge repositories, succession and cross-training plans.</t>
  </si>
  <si>
    <t xml:space="preserve">Critical knowledge held by a few individuals; lessons learned not captured.</t>
  </si>
  <si>
    <t xml:space="preserve">What would be lost if the most experienced person left tomorrow?</t>
  </si>
  <si>
    <t xml:space="preserve">7.2</t>
  </si>
  <si>
    <t xml:space="preserve">Competence</t>
  </si>
  <si>
    <t xml:space="preserve">Determine necessary competence, ensure it through education, training or experience, act where gaps exist and retain evidence.</t>
  </si>
  <si>
    <t xml:space="preserve">How is competence defined and verified for roles affecting product conformity?</t>
  </si>
  <si>
    <t xml:space="preserve">Competence matrix, training records, qualifications, effectiveness evaluations.</t>
  </si>
  <si>
    <t xml:space="preserve">Training attendance recorded but effectiveness never evaluated; expired qualifications.</t>
  </si>
  <si>
    <t xml:space="preserve">Pick an operator in a special process: show the evidence of competence.</t>
  </si>
  <si>
    <t xml:space="preserve">7.3</t>
  </si>
  <si>
    <t xml:space="preserve">Awareness</t>
  </si>
  <si>
    <t xml:space="preserve">Persons are aware of the policy, relevant objectives, their contribution and the implications of nonconformity.</t>
  </si>
  <si>
    <t xml:space="preserve">Do employees understand how they contribute to quality and what a nonconformity means?</t>
  </si>
  <si>
    <t xml:space="preserve">Induction and toolbox records, interview responses, communication boards.</t>
  </si>
  <si>
    <t xml:space="preserve">Staff unaware of objectives or policy.</t>
  </si>
  <si>
    <t xml:space="preserve">Ask an operator what their quality responsibility is.</t>
  </si>
  <si>
    <t xml:space="preserve">7.4</t>
  </si>
  <si>
    <t xml:space="preserve">Communication</t>
  </si>
  <si>
    <t xml:space="preserve">Determine internal and external communications: what, when, with whom, how and who.</t>
  </si>
  <si>
    <t xml:space="preserve">What is communicated internally and externally about the QMS, and how?</t>
  </si>
  <si>
    <t xml:space="preserve">Communication plan or matrix, meeting records, customer communication logs.</t>
  </si>
  <si>
    <t xml:space="preserve">Communication happens but nothing is defined; no route for customer feedback.</t>
  </si>
  <si>
    <t xml:space="preserve">How does a customer quality alert reach the shop floor?</t>
  </si>
  <si>
    <t xml:space="preserve">7.5</t>
  </si>
  <si>
    <t xml:space="preserve">Documented information</t>
  </si>
  <si>
    <t xml:space="preserve">Control the creation, update, availability, distribution, retention and protection of required documented information.</t>
  </si>
  <si>
    <t xml:space="preserve">How are documents and records identified, approved, controlled and retained?</t>
  </si>
  <si>
    <t xml:space="preserve">Document register, revision control, record retention schedule, access controls, obsolete document control.</t>
  </si>
  <si>
    <t xml:space="preserve">Uncontrolled copies in use; records missing, illegible or unsigned; retention not defined.</t>
  </si>
  <si>
    <t xml:space="preserve">Check the revision of a work instruction at a workstation against the master.</t>
  </si>
  <si>
    <t xml:space="preserve">8.1</t>
  </si>
  <si>
    <t xml:space="preserve">Operational planning and control</t>
  </si>
  <si>
    <t xml:space="preserve">Plan, implement and control processes to meet requirements, including criteria, resources and records.</t>
  </si>
  <si>
    <t xml:space="preserve">How are production and service processes planned and controlled to meet requirements?</t>
  </si>
  <si>
    <t xml:space="preserve">Process plans, control plans, routings, work instructions, acceptance criteria.</t>
  </si>
  <si>
    <t xml:space="preserve">Plans not updated after changes; criteria for acceptance not defined.</t>
  </si>
  <si>
    <t xml:space="preserve">Show the plan for a current job from order to delivery.</t>
  </si>
  <si>
    <t xml:space="preserve">8.2</t>
  </si>
  <si>
    <t xml:space="preserve">Requirements for products and services</t>
  </si>
  <si>
    <t xml:space="preserve">Communicate with customers, determine and review requirements before commitment, and handle changes.</t>
  </si>
  <si>
    <t xml:space="preserve">How are customer requirements determined, reviewed and confirmed before accepting an order?</t>
  </si>
  <si>
    <t xml:space="preserve">Contract/PO review records, quotations, change notices, customer communications.</t>
  </si>
  <si>
    <t xml:space="preserve">No documented review; verbal changes not captured; capacity not confirmed before acceptance.</t>
  </si>
  <si>
    <t xml:space="preserve">Show a PO with unusual requirements and how it was reviewed.</t>
  </si>
  <si>
    <t xml:space="preserve">8.3</t>
  </si>
  <si>
    <t xml:space="preserve">Design and development</t>
  </si>
  <si>
    <t xml:space="preserve">Plan, control, verify, validate and manage changes to design and development, with required inputs, outputs and records.</t>
  </si>
  <si>
    <t xml:space="preserve">How is design and development planned, reviewed, verified and validated? (Mark N/A only if justified in scope.)</t>
  </si>
  <si>
    <t xml:space="preserve">Design plans, input requirements, review/verification/validation records, design change control, configuration records.</t>
  </si>
  <si>
    <t xml:space="preserve">Reviews not recorded; verification and validation confused; changes not assessed for downstream impact.</t>
  </si>
  <si>
    <t xml:space="preserve">Show a design change from request to release.</t>
  </si>
  <si>
    <t xml:space="preserve">8.4</t>
  </si>
  <si>
    <t xml:space="preserve">Externally provided processes, products and services</t>
  </si>
  <si>
    <t xml:space="preserve">Ensure external provision conforms: define controls, evaluate and select providers, communicate requirements, verify outputs.</t>
  </si>
  <si>
    <t xml:space="preserve">How are suppliers selected, evaluated, monitored and re-evaluated, and how are requirements flowed down?</t>
  </si>
  <si>
    <t xml:space="preserve">Approved supplier list, evaluation criteria and scores, purchase orders with flow-downs, incoming inspection records, supplier corrective actions.</t>
  </si>
  <si>
    <t xml:space="preserve">Approved list not reviewed; criteria not applied; flow-down requirements missing from POs.</t>
  </si>
  <si>
    <t xml:space="preserve">Pick a critical supplier: show evaluation, PO requirements and performance data.</t>
  </si>
  <si>
    <t xml:space="preserve">8.5.1</t>
  </si>
  <si>
    <t xml:space="preserve">Control of production and service provision</t>
  </si>
  <si>
    <t xml:space="preserve">Implement production under controlled conditions: information, monitoring, suitable infrastructure, competent people, validation of special processes, error prevention, release activities.</t>
  </si>
  <si>
    <t xml:space="preserve">How is production controlled and how are processes whose output cannot be fully verified validated?</t>
  </si>
  <si>
    <t xml:space="preserve">Work instructions, control plans, process validation records, first article records, error-proofing, SPC.</t>
  </si>
  <si>
    <t xml:space="preserve">Special process not validated or revalidated; work instructions not followed; no error-proofing.</t>
  </si>
  <si>
    <t xml:space="preserve">Observe an operation and compare with the work instruction.</t>
  </si>
  <si>
    <t xml:space="preserve">8.5.2</t>
  </si>
  <si>
    <t xml:space="preserve">Identification and traceability</t>
  </si>
  <si>
    <t xml:space="preserve">Identify outputs and status, and control unique identification where traceability is required.</t>
  </si>
  <si>
    <t xml:space="preserve">How is product identified and traced through production and delivery?</t>
  </si>
  <si>
    <t xml:space="preserve">Traveler/job cards, lot/serial records, labelling, traceability exercise results.</t>
  </si>
  <si>
    <t xml:space="preserve">Status not visible; traceability breaks between stages; mixed lots.</t>
  </si>
  <si>
    <t xml:space="preserve">Run a trace exercise: pick a finished unit and trace it back to materials.</t>
  </si>
  <si>
    <t xml:space="preserve">8.5.3</t>
  </si>
  <si>
    <t xml:space="preserve">Property belonging to customers or external providers</t>
  </si>
  <si>
    <t xml:space="preserve">Identify, verify, protect and safeguard customer or supplier property; report loss or damage.</t>
  </si>
  <si>
    <t xml:space="preserve">How is customer-supplied property identified, protected and reported if damaged or lost?</t>
  </si>
  <si>
    <t xml:space="preserve">Customer property register, storage controls, incident records, notifications.</t>
  </si>
  <si>
    <t xml:space="preserve">No register; property stored with company stock; damage not reported to the customer.</t>
  </si>
  <si>
    <t xml:space="preserve">Show customer-owned items currently on site.</t>
  </si>
  <si>
    <t xml:space="preserve">8.5.4</t>
  </si>
  <si>
    <t xml:space="preserve">Preservation</t>
  </si>
  <si>
    <t xml:space="preserve">Preserve outputs during production and delivery to maintain conformity (handling, packaging, storage, protection).</t>
  </si>
  <si>
    <t xml:space="preserve">How is product preserved from receipt through delivery?</t>
  </si>
  <si>
    <t xml:space="preserve">Handling and packaging instructions, storage conditions, shelf-life controls, FIFO records.</t>
  </si>
  <si>
    <t xml:space="preserve">Shelf-life items not controlled; inadequate packaging or storage conditions.</t>
  </si>
  <si>
    <t xml:space="preserve">Walk the stores: check conditions, labelling and expiry control.</t>
  </si>
  <si>
    <t xml:space="preserve">8.5.5</t>
  </si>
  <si>
    <t xml:space="preserve">Post-delivery activities</t>
  </si>
  <si>
    <t xml:space="preserve">Meet post-delivery requirements such as warranty, maintenance, support and feedback.</t>
  </si>
  <si>
    <t xml:space="preserve">What post-delivery obligations exist and how are they met?</t>
  </si>
  <si>
    <t xml:space="preserve">Warranty procedure, service records, customer feedback and returns data.</t>
  </si>
  <si>
    <t xml:space="preserve">Obligations in contracts not covered by any process.</t>
  </si>
  <si>
    <t xml:space="preserve">How does field feedback reach engineering and quality?</t>
  </si>
  <si>
    <t xml:space="preserve">8.5.6</t>
  </si>
  <si>
    <t xml:space="preserve">Control of changes</t>
  </si>
  <si>
    <t xml:space="preserve">Review and control changes to production or service provision to maintain conformity.</t>
  </si>
  <si>
    <t xml:space="preserve">How are production changes reviewed, authorized and recorded?</t>
  </si>
  <si>
    <t xml:space="preserve">Change requests, approvals, effectiveness checks, updated documents.</t>
  </si>
  <si>
    <t xml:space="preserve">Process changes implemented without documented review or customer approval where required.</t>
  </si>
  <si>
    <t xml:space="preserve">Show a recent process change and its verification.</t>
  </si>
  <si>
    <t xml:space="preserve">8.6</t>
  </si>
  <si>
    <t xml:space="preserve">Release of products and services</t>
  </si>
  <si>
    <t xml:space="preserve">Implement planned arrangements to verify requirements are met before release; retain evidence and authorizer.</t>
  </si>
  <si>
    <t xml:space="preserve">What must be completed and who authorizes before product is released?</t>
  </si>
  <si>
    <t xml:space="preserve">Inspection and test records, release authorization, certificates of conformity, acceptance criteria.</t>
  </si>
  <si>
    <t xml:space="preserve">Release without complete records; authorizer not identifiable.</t>
  </si>
  <si>
    <t xml:space="preserve">Sample three shipped orders and check release records.</t>
  </si>
  <si>
    <t xml:space="preserve">8.7</t>
  </si>
  <si>
    <t xml:space="preserve">Control of nonconforming outputs</t>
  </si>
  <si>
    <t xml:space="preserve">Identify and control nonconforming outputs to prevent unintended use or delivery; deal with them and keep records.</t>
  </si>
  <si>
    <t xml:space="preserve">How is nonconforming product identified, segregated, dispositioned and recorded?</t>
  </si>
  <si>
    <t xml:space="preserve">NCR log, segregation areas, disposition records, concession/waiver approvals.</t>
  </si>
  <si>
    <t xml:space="preserve">No segregation; disposition without authority; customer not informed when required.</t>
  </si>
  <si>
    <t xml:space="preserve">Walk the floor: find quarantined product and trace its NCR.</t>
  </si>
  <si>
    <t xml:space="preserve">9.1.1-9.1.2</t>
  </si>
  <si>
    <t xml:space="preserve">Monitoring, measurement and customer satisfaction</t>
  </si>
  <si>
    <t xml:space="preserve">Determine what to monitor and measure, methods and timing; monitor customers' perception of requirement fulfilment.</t>
  </si>
  <si>
    <t xml:space="preserve">What is monitored and measured, and how is customer satisfaction obtained and used?</t>
  </si>
  <si>
    <t xml:space="preserve">KPI dashboards, on-time delivery and quality data, customer scorecards, survey or feedback records.</t>
  </si>
  <si>
    <t xml:space="preserve">Data collected but not used; satisfaction measured only when a complaint arises.</t>
  </si>
  <si>
    <t xml:space="preserve">What action followed the last poor customer scorecard?</t>
  </si>
  <si>
    <t xml:space="preserve">9.1.3</t>
  </si>
  <si>
    <t xml:space="preserve">Analysis and evaluation</t>
  </si>
  <si>
    <t xml:space="preserve">Analyze and evaluate data to assess conformity, satisfaction, QMS performance, planning effectiveness, risk actions, provider performance and improvement needs.</t>
  </si>
  <si>
    <t xml:space="preserve">How is data analyzed and what decisions result?</t>
  </si>
  <si>
    <t xml:space="preserve">Trend analyses, management review inputs, improvement actions arising from data.</t>
  </si>
  <si>
    <t xml:space="preserve">Charts produced without analysis or decisions.</t>
  </si>
  <si>
    <t xml:space="preserve">Show a trend that led to an improvement action.</t>
  </si>
  <si>
    <t xml:space="preserve">9.2</t>
  </si>
  <si>
    <t xml:space="preserve">Internal audit</t>
  </si>
  <si>
    <t xml:space="preserve">Plan and conduct internal audits at intervals; define criteria and scope; ensure objective, impartial auditors; report and act without undue delay.</t>
  </si>
  <si>
    <t xml:space="preserve">Does the audit programme cover all processes, use competent and impartial auditors, and lead to action?</t>
  </si>
  <si>
    <t xml:space="preserve">Audit programme and schedule, audit reports, auditor competence records, findings and closure evidence.</t>
  </si>
  <si>
    <t xml:space="preserve">Programme not risk-based; auditors audit their own work; findings not closed on time.</t>
  </si>
  <si>
    <t xml:space="preserve">Show last year's findings and evidence of closure.</t>
  </si>
  <si>
    <t xml:space="preserve">9.3</t>
  </si>
  <si>
    <t xml:space="preserve">Management review</t>
  </si>
  <si>
    <t xml:space="preserve">Top management reviews the QMS at planned intervals with required inputs and records decisions on improvement, changes and resources.</t>
  </si>
  <si>
    <t xml:space="preserve">Are management reviews held at planned intervals with all required inputs and outputs?</t>
  </si>
  <si>
    <t xml:space="preserve">Review agendas, minutes, data packs, action tracking.</t>
  </si>
  <si>
    <t xml:space="preserve">Required inputs missing (e.g. supplier performance, risk actions); no resulting actions or decisions.</t>
  </si>
  <si>
    <t xml:space="preserve">Show decisions or resource changes that resulted from the last review.</t>
  </si>
  <si>
    <t xml:space="preserve">10.1</t>
  </si>
  <si>
    <t xml:space="preserve">Improvement (general)</t>
  </si>
  <si>
    <t xml:space="preserve">Determine and select opportunities for improvement and implement actions to meet requirements and enhance satisfaction.</t>
  </si>
  <si>
    <t xml:space="preserve">How does the organization identify and prioritize improvement opportunities?</t>
  </si>
  <si>
    <t xml:space="preserve">Improvement log, project records, results achieved.</t>
  </si>
  <si>
    <t xml:space="preserve">Improvement ideas not captured or prioritized.</t>
  </si>
  <si>
    <t xml:space="preserve">Name a recent improvement and the measured result.</t>
  </si>
  <si>
    <t xml:space="preserve">10.2</t>
  </si>
  <si>
    <t xml:space="preserve">Nonconformity and corrective action</t>
  </si>
  <si>
    <t xml:space="preserve">React to nonconformities, evaluate need for action to eliminate causes, implement, review effectiveness, update risks and QMS if needed; retain records.</t>
  </si>
  <si>
    <t xml:space="preserve">How are root causes determined and corrective actions verified for effectiveness?</t>
  </si>
  <si>
    <t xml:space="preserve">CAPA log, root cause analysis (5-Why, 8D), effectiveness verification, recurrence data.</t>
  </si>
  <si>
    <t xml:space="preserve">Corrections confused with corrective actions; root cause superficial; effectiveness not verified; repeat findings.</t>
  </si>
  <si>
    <t xml:space="preserve">Pick a closed CAPA: has the problem recurred?</t>
  </si>
  <si>
    <t xml:space="preserve">10.3</t>
  </si>
  <si>
    <t xml:space="preserve">Continual improvement</t>
  </si>
  <si>
    <t xml:space="preserve">Continually improve the suitability, adequacy and effectiveness of the QMS using analysis and management review outputs.</t>
  </si>
  <si>
    <t xml:space="preserve">What evidence shows the QMS is improving over time?</t>
  </si>
  <si>
    <t xml:space="preserve">Trend of KPIs over multiple periods, improvement projects, management review outputs.</t>
  </si>
  <si>
    <t xml:space="preserve">Flat or declining trends with no response.</t>
  </si>
  <si>
    <t xml:space="preserve">Compare three years of key metrics and discuss what changed.</t>
  </si>
  <si>
    <t xml:space="preserve">Using AI Safely in an Audit Workflow</t>
  </si>
  <si>
    <t xml:space="preserve">Where AI helps</t>
  </si>
  <si>
    <t xml:space="preserve">Draft questions</t>
  </si>
  <si>
    <t xml:space="preserve">Generate additional audit questions tailored to a client's process or product.</t>
  </si>
  <si>
    <t xml:space="preserve">Evidence lists</t>
  </si>
  <si>
    <t xml:space="preserve">Turn a clause into a request-for-evidence list to send before the audit.</t>
  </si>
  <si>
    <t xml:space="preserve">Finding wording</t>
  </si>
  <si>
    <t xml:space="preserve">Draft clear, factual finding statements from your raw notes (you verify every word).</t>
  </si>
  <si>
    <t xml:space="preserve">Summaries</t>
  </si>
  <si>
    <t xml:space="preserve">Summarize long procedures or prior reports to prepare faster.</t>
  </si>
  <si>
    <t xml:space="preserve">Guardrails</t>
  </si>
  <si>
    <t xml:space="preserve">Confidentiality</t>
  </si>
  <si>
    <t xml:space="preserve">Do not enter client names, part numbers, drawings, contract terms or export-controlled data. Sanitize first (e.g. 'Client A', 'Part X').</t>
  </si>
  <si>
    <t xml:space="preserve">Verification</t>
  </si>
  <si>
    <t xml:space="preserve">AI can misstate requirements. Check every clause reference against the licensed standard.</t>
  </si>
  <si>
    <t xml:space="preserve">Judgment</t>
  </si>
  <si>
    <t xml:space="preserve">Classification of findings (minor/major) and conclusions remain the auditor's decision.</t>
  </si>
  <si>
    <t xml:space="preserve">Record</t>
  </si>
  <si>
    <t xml:space="preserve">Note in the audit file where AI assisted drafting.</t>
  </si>
  <si>
    <t xml:space="preserve">Starter prompts</t>
  </si>
  <si>
    <t xml:space="preserve">Evidence request</t>
  </si>
  <si>
    <t xml:space="preserve">"Act as an ISO 9001:2015 auditor. For clause 8.4, list the documents and records I should request from a small machining supplier. Use generic placeholders; no client data."</t>
  </si>
  <si>
    <t xml:space="preserve">Finding draft</t>
  </si>
  <si>
    <t xml:space="preserve">"Rewrite these notes as a factual nonconformity statement: requirement, evidence observed, gap. Notes: [sanitized notes]."</t>
  </si>
  <si>
    <t xml:space="preserve">Interview prep</t>
  </si>
  <si>
    <t xml:space="preserve">"Suggest 8 open-ended interview questions for a production supervisor about clause 8.5.1, avoiding leading questions."</t>
  </si>
</sst>
</file>

<file path=xl/styles.xml><?xml version="1.0" encoding="utf-8"?>
<styleSheet xmlns="http://schemas.openxmlformats.org/spreadsheetml/2006/main">
  <numFmts count="4">
    <numFmt numFmtId="164" formatCode="General"/>
    <numFmt numFmtId="165" formatCode="yyyy\-mm\-dd"/>
    <numFmt numFmtId="166" formatCode="General"/>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name val="Arial"/>
      <family val="0"/>
      <charset val="1"/>
    </font>
    <font>
      <b val="true"/>
      <sz val="11"/>
      <color rgb="FF1F3A5F"/>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
      <i val="true"/>
      <sz val="8"/>
      <name val="Arial"/>
      <family val="0"/>
      <charset val="1"/>
    </font>
  </fonts>
  <fills count="5">
    <fill>
      <patternFill patternType="none"/>
    </fill>
    <fill>
      <patternFill patternType="gray125"/>
    </fill>
    <fill>
      <patternFill patternType="solid">
        <fgColor rgb="FFD9E2F0"/>
        <bgColor rgb="FFD9D9D9"/>
      </patternFill>
    </fill>
    <fill>
      <patternFill patternType="solid">
        <fgColor rgb="FFFFF9DB"/>
        <bgColor rgb="FFFFFFFF"/>
      </patternFill>
    </fill>
    <fill>
      <patternFill patternType="solid">
        <fgColor rgb="FF1F3A5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false" hidden="false"/>
    </xf>
    <xf numFmtId="165" fontId="7" fillId="3" borderId="1" xfId="0" applyFont="true" applyBorder="true" applyAlignment="true" applyProtection="true">
      <alignment horizontal="general" vertical="bottom" textRotation="0" wrapText="false" indent="0" shrinkToFit="false"/>
      <protection locked="fals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6" fontId="8" fillId="2" borderId="1" xfId="0" applyFont="true" applyBorder="true" applyAlignment="true" applyProtection="false">
      <alignment horizontal="center" vertical="bottom" textRotation="0" wrapText="false" indent="0" shrinkToFit="false"/>
      <protection locked="true" hidden="false"/>
    </xf>
    <xf numFmtId="167" fontId="8" fillId="2" borderId="1" xfId="0" applyFont="true" applyBorder="tru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false" hidden="false"/>
    </xf>
    <xf numFmtId="165" fontId="7" fillId="3" borderId="1" xfId="0" applyFont="true" applyBorder="true" applyAlignment="true" applyProtection="true">
      <alignment horizontal="general" vertical="top" textRotation="0" wrapText="true" indent="0" shrinkToFit="false"/>
      <protection locked="false" hidden="false"/>
    </xf>
    <xf numFmtId="166" fontId="7"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bgColor rgb="FFC6EFCE"/>
        </patternFill>
      </fill>
    </dxf>
    <dxf>
      <fill>
        <patternFill>
          <bgColor rgb="FFFFEB9C"/>
        </patternFill>
      </fill>
    </dxf>
    <dxf>
      <fill>
        <patternFill>
          <bgColor rgb="FFFFC7CE"/>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DB"/>
      <rgbColor rgb="FFD9E2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95"/>
  </cols>
  <sheetData>
    <row r="2" customFormat="false" ht="19.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c r="C5" s="5"/>
    </row>
    <row r="6" customFormat="false" ht="15" hidden="false" customHeight="true" outlineLevel="0" collapsed="false">
      <c r="B6" s="6" t="s">
        <v>3</v>
      </c>
      <c r="C6" s="5" t="s">
        <v>4</v>
      </c>
    </row>
    <row r="7" customFormat="false" ht="23.25" hidden="false" customHeight="true" outlineLevel="0" collapsed="false">
      <c r="B7" s="6" t="s">
        <v>5</v>
      </c>
      <c r="C7" s="5" t="s">
        <v>6</v>
      </c>
    </row>
    <row r="8" customFormat="false" ht="15" hidden="false" customHeight="true" outlineLevel="0" collapsed="false">
      <c r="B8" s="6" t="s">
        <v>7</v>
      </c>
      <c r="C8" s="5" t="s">
        <v>8</v>
      </c>
    </row>
    <row r="9" customFormat="false" ht="15" hidden="false" customHeight="true" outlineLevel="0" collapsed="false">
      <c r="B9" s="6" t="s">
        <v>9</v>
      </c>
      <c r="C9" s="5" t="s">
        <v>10</v>
      </c>
    </row>
    <row r="10" customFormat="false" ht="15" hidden="false" customHeight="true" outlineLevel="0" collapsed="false">
      <c r="B10" s="6" t="s">
        <v>11</v>
      </c>
      <c r="C10" s="5" t="s">
        <v>12</v>
      </c>
    </row>
    <row r="11" customFormat="false" ht="15" hidden="false" customHeight="true" outlineLevel="0" collapsed="false">
      <c r="B11" s="6" t="s">
        <v>13</v>
      </c>
      <c r="C11" s="5" t="s">
        <v>14</v>
      </c>
    </row>
    <row r="12" customFormat="false" ht="23.25" hidden="false" customHeight="true" outlineLevel="0" collapsed="false">
      <c r="B12" s="6" t="s">
        <v>15</v>
      </c>
      <c r="C12" s="5" t="s">
        <v>16</v>
      </c>
    </row>
    <row r="13" customFormat="false" ht="15" hidden="false" customHeight="true" outlineLevel="0" collapsed="false">
      <c r="B13" s="6" t="s">
        <v>17</v>
      </c>
      <c r="C13" s="5" t="s">
        <v>18</v>
      </c>
    </row>
    <row r="15" customFormat="false" ht="15" hidden="false" customHeight="true" outlineLevel="0" collapsed="false">
      <c r="B15" s="7" t="s">
        <v>19</v>
      </c>
    </row>
    <row r="16" customFormat="false" ht="15" hidden="false" customHeight="true" outlineLevel="0" collapsed="false">
      <c r="B16" s="8" t="s">
        <v>20</v>
      </c>
      <c r="C16" s="9" t="s">
        <v>21</v>
      </c>
    </row>
    <row r="17" customFormat="false" ht="15" hidden="false" customHeight="true" outlineLevel="0" collapsed="false">
      <c r="B17" s="8" t="s">
        <v>22</v>
      </c>
      <c r="C17" s="9" t="s">
        <v>23</v>
      </c>
    </row>
    <row r="18" customFormat="false" ht="23.25" hidden="false" customHeight="true" outlineLevel="0" collapsed="false">
      <c r="B18" s="8" t="s">
        <v>24</v>
      </c>
      <c r="C18" s="9" t="s">
        <v>25</v>
      </c>
    </row>
    <row r="19" customFormat="false" ht="15" hidden="false" customHeight="true" outlineLevel="0" collapsed="false">
      <c r="B19" s="8" t="s">
        <v>26</v>
      </c>
      <c r="C19" s="9" t="s">
        <v>27</v>
      </c>
    </row>
    <row r="20" customFormat="false" ht="15" hidden="false" customHeight="true" outlineLevel="0" collapsed="false">
      <c r="B20" s="8" t="s">
        <v>28</v>
      </c>
      <c r="C20" s="9" t="s">
        <v>29</v>
      </c>
    </row>
    <row r="22" customFormat="false" ht="57.75" hidden="false" customHeight="true" outlineLevel="0" collapsed="false">
      <c r="B22" s="10" t="s">
        <v>30</v>
      </c>
      <c r="C22" s="5" t="s">
        <v>31</v>
      </c>
    </row>
  </sheetData>
  <sheetProtection sheet="true" password="a863" formatColumns="false" formatRows="false" sort="false" autoFilter="false"/>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 2026 Cristian La Bella Consulting. All rights reserved. Not for resale or redistribution without written permission.&amp;R&amp;8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I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9" min="3" style="1" width="14"/>
  </cols>
  <sheetData>
    <row r="2" customFormat="false" ht="19.5" hidden="false" customHeight="true" outlineLevel="0" collapsed="false">
      <c r="B2" s="2" t="s">
        <v>32</v>
      </c>
    </row>
    <row r="4" customFormat="false" ht="15" hidden="false" customHeight="true" outlineLevel="0" collapsed="false">
      <c r="B4" s="11" t="s">
        <v>33</v>
      </c>
      <c r="C4" s="12"/>
      <c r="D4" s="12"/>
      <c r="E4" s="12"/>
      <c r="F4" s="12"/>
    </row>
    <row r="5" customFormat="false" ht="15" hidden="false" customHeight="true" outlineLevel="0" collapsed="false">
      <c r="B5" s="11" t="s">
        <v>34</v>
      </c>
      <c r="C5" s="12"/>
      <c r="D5" s="12"/>
      <c r="E5" s="12"/>
      <c r="F5" s="12"/>
    </row>
    <row r="6" customFormat="false" ht="15" hidden="false" customHeight="true" outlineLevel="0" collapsed="false">
      <c r="B6" s="11" t="s">
        <v>35</v>
      </c>
      <c r="C6" s="12"/>
      <c r="D6" s="12"/>
      <c r="E6" s="12"/>
      <c r="F6" s="12"/>
    </row>
    <row r="7" customFormat="false" ht="15" hidden="false" customHeight="true" outlineLevel="0" collapsed="false">
      <c r="B7" s="11" t="s">
        <v>36</v>
      </c>
      <c r="C7" s="13"/>
      <c r="D7" s="13"/>
      <c r="E7" s="13"/>
      <c r="F7" s="13"/>
    </row>
    <row r="9" customFormat="false" ht="30" hidden="false" customHeight="true" outlineLevel="0" collapsed="false">
      <c r="B9" s="14" t="s">
        <v>37</v>
      </c>
      <c r="C9" s="14" t="s">
        <v>38</v>
      </c>
      <c r="D9" s="14" t="s">
        <v>39</v>
      </c>
      <c r="E9" s="14" t="s">
        <v>23</v>
      </c>
      <c r="F9" s="14" t="s">
        <v>40</v>
      </c>
      <c r="G9" s="14" t="s">
        <v>41</v>
      </c>
      <c r="H9" s="14" t="s">
        <v>42</v>
      </c>
      <c r="I9" s="14" t="s">
        <v>43</v>
      </c>
    </row>
    <row r="10" customFormat="false" ht="15" hidden="false" customHeight="true" outlineLevel="0" collapsed="false">
      <c r="B10" s="15" t="s">
        <v>44</v>
      </c>
      <c r="C10" s="16" t="n">
        <f aca="false">COUNTIF(Checklist!$L$2:$L$37,4)</f>
        <v>4</v>
      </c>
      <c r="D10" s="16" t="n">
        <f aca="false">COUNTIFS(Checklist!$L$2:$L$37,4,Checklist!$H$2:$H$37,"Conforming")</f>
        <v>0</v>
      </c>
      <c r="E10" s="16" t="n">
        <f aca="false">COUNTIFS(Checklist!$L$2:$L$37,4,Checklist!$H$2:$H$37,"Minor gap")</f>
        <v>0</v>
      </c>
      <c r="F10" s="16" t="n">
        <f aca="false">COUNTIFS(Checklist!$L$2:$L$37,4,Checklist!$H$2:$H$37,"Major gap")</f>
        <v>0</v>
      </c>
      <c r="G10" s="16" t="n">
        <f aca="false">COUNTIFS(Checklist!$L$2:$L$37,4,Checklist!$H$2:$H$37,"Not applicable")</f>
        <v>0</v>
      </c>
      <c r="H10" s="16" t="n">
        <f aca="false">COUNTIFS(Checklist!$L$2:$L$37,4,Checklist!$H$2:$H$37,"Not assessed")</f>
        <v>4</v>
      </c>
      <c r="I10" s="17" t="str">
        <f aca="false">IF((C10-G10-H10)=0,"n/a",D10/(C10-G10-H10))</f>
        <v>n/a</v>
      </c>
    </row>
    <row r="11" customFormat="false" ht="15" hidden="false" customHeight="true" outlineLevel="0" collapsed="false">
      <c r="B11" s="15" t="s">
        <v>45</v>
      </c>
      <c r="C11" s="16" t="n">
        <f aca="false">COUNTIF(Checklist!$L$2:$L$37,5)</f>
        <v>3</v>
      </c>
      <c r="D11" s="16" t="n">
        <f aca="false">COUNTIFS(Checklist!$L$2:$L$37,5,Checklist!$H$2:$H$37,"Conforming")</f>
        <v>0</v>
      </c>
      <c r="E11" s="16" t="n">
        <f aca="false">COUNTIFS(Checklist!$L$2:$L$37,5,Checklist!$H$2:$H$37,"Minor gap")</f>
        <v>0</v>
      </c>
      <c r="F11" s="16" t="n">
        <f aca="false">COUNTIFS(Checklist!$L$2:$L$37,5,Checklist!$H$2:$H$37,"Major gap")</f>
        <v>0</v>
      </c>
      <c r="G11" s="16" t="n">
        <f aca="false">COUNTIFS(Checklist!$L$2:$L$37,5,Checklist!$H$2:$H$37,"Not applicable")</f>
        <v>0</v>
      </c>
      <c r="H11" s="16" t="n">
        <f aca="false">COUNTIFS(Checklist!$L$2:$L$37,5,Checklist!$H$2:$H$37,"Not assessed")</f>
        <v>3</v>
      </c>
      <c r="I11" s="17" t="str">
        <f aca="false">IF((C11-G11-H11)=0,"n/a",D11/(C11-G11-H11))</f>
        <v>n/a</v>
      </c>
    </row>
    <row r="12" customFormat="false" ht="15" hidden="false" customHeight="true" outlineLevel="0" collapsed="false">
      <c r="B12" s="15" t="s">
        <v>46</v>
      </c>
      <c r="C12" s="16" t="n">
        <f aca="false">COUNTIF(Checklist!$L$2:$L$37,6)</f>
        <v>3</v>
      </c>
      <c r="D12" s="16" t="n">
        <f aca="false">COUNTIFS(Checklist!$L$2:$L$37,6,Checklist!$H$2:$H$37,"Conforming")</f>
        <v>0</v>
      </c>
      <c r="E12" s="16" t="n">
        <f aca="false">COUNTIFS(Checklist!$L$2:$L$37,6,Checklist!$H$2:$H$37,"Minor gap")</f>
        <v>0</v>
      </c>
      <c r="F12" s="16" t="n">
        <f aca="false">COUNTIFS(Checklist!$L$2:$L$37,6,Checklist!$H$2:$H$37,"Major gap")</f>
        <v>0</v>
      </c>
      <c r="G12" s="16" t="n">
        <f aca="false">COUNTIFS(Checklist!$L$2:$L$37,6,Checklist!$H$2:$H$37,"Not applicable")</f>
        <v>0</v>
      </c>
      <c r="H12" s="16" t="n">
        <f aca="false">COUNTIFS(Checklist!$L$2:$L$37,6,Checklist!$H$2:$H$37,"Not assessed")</f>
        <v>3</v>
      </c>
      <c r="I12" s="17" t="str">
        <f aca="false">IF((C12-G12-H12)=0,"n/a",D12/(C12-G12-H12))</f>
        <v>n/a</v>
      </c>
    </row>
    <row r="13" customFormat="false" ht="15" hidden="false" customHeight="true" outlineLevel="0" collapsed="false">
      <c r="B13" s="15" t="s">
        <v>47</v>
      </c>
      <c r="C13" s="16" t="n">
        <f aca="false">COUNTIF(Checklist!$L$2:$L$37,7)</f>
        <v>7</v>
      </c>
      <c r="D13" s="16" t="n">
        <f aca="false">COUNTIFS(Checklist!$L$2:$L$37,7,Checklist!$H$2:$H$37,"Conforming")</f>
        <v>0</v>
      </c>
      <c r="E13" s="16" t="n">
        <f aca="false">COUNTIFS(Checklist!$L$2:$L$37,7,Checklist!$H$2:$H$37,"Minor gap")</f>
        <v>0</v>
      </c>
      <c r="F13" s="16" t="n">
        <f aca="false">COUNTIFS(Checklist!$L$2:$L$37,7,Checklist!$H$2:$H$37,"Major gap")</f>
        <v>0</v>
      </c>
      <c r="G13" s="16" t="n">
        <f aca="false">COUNTIFS(Checklist!$L$2:$L$37,7,Checklist!$H$2:$H$37,"Not applicable")</f>
        <v>0</v>
      </c>
      <c r="H13" s="16" t="n">
        <f aca="false">COUNTIFS(Checklist!$L$2:$L$37,7,Checklist!$H$2:$H$37,"Not assessed")</f>
        <v>7</v>
      </c>
      <c r="I13" s="17" t="str">
        <f aca="false">IF((C13-G13-H13)=0,"n/a",D13/(C13-G13-H13))</f>
        <v>n/a</v>
      </c>
    </row>
    <row r="14" customFormat="false" ht="15" hidden="false" customHeight="true" outlineLevel="0" collapsed="false">
      <c r="B14" s="15" t="s">
        <v>48</v>
      </c>
      <c r="C14" s="16" t="n">
        <f aca="false">COUNTIF(Checklist!$L$2:$L$37,8)</f>
        <v>12</v>
      </c>
      <c r="D14" s="16" t="n">
        <f aca="false">COUNTIFS(Checklist!$L$2:$L$37,8,Checklist!$H$2:$H$37,"Conforming")</f>
        <v>0</v>
      </c>
      <c r="E14" s="16" t="n">
        <f aca="false">COUNTIFS(Checklist!$L$2:$L$37,8,Checklist!$H$2:$H$37,"Minor gap")</f>
        <v>0</v>
      </c>
      <c r="F14" s="16" t="n">
        <f aca="false">COUNTIFS(Checklist!$L$2:$L$37,8,Checklist!$H$2:$H$37,"Major gap")</f>
        <v>0</v>
      </c>
      <c r="G14" s="16" t="n">
        <f aca="false">COUNTIFS(Checklist!$L$2:$L$37,8,Checklist!$H$2:$H$37,"Not applicable")</f>
        <v>0</v>
      </c>
      <c r="H14" s="16" t="n">
        <f aca="false">COUNTIFS(Checklist!$L$2:$L$37,8,Checklist!$H$2:$H$37,"Not assessed")</f>
        <v>12</v>
      </c>
      <c r="I14" s="17" t="str">
        <f aca="false">IF((C14-G14-H14)=0,"n/a",D14/(C14-G14-H14))</f>
        <v>n/a</v>
      </c>
    </row>
    <row r="15" customFormat="false" ht="15" hidden="false" customHeight="true" outlineLevel="0" collapsed="false">
      <c r="B15" s="15" t="s">
        <v>49</v>
      </c>
      <c r="C15" s="16" t="n">
        <f aca="false">COUNTIF(Checklist!$L$2:$L$37,9)</f>
        <v>4</v>
      </c>
      <c r="D15" s="16" t="n">
        <f aca="false">COUNTIFS(Checklist!$L$2:$L$37,9,Checklist!$H$2:$H$37,"Conforming")</f>
        <v>0</v>
      </c>
      <c r="E15" s="16" t="n">
        <f aca="false">COUNTIFS(Checklist!$L$2:$L$37,9,Checklist!$H$2:$H$37,"Minor gap")</f>
        <v>0</v>
      </c>
      <c r="F15" s="16" t="n">
        <f aca="false">COUNTIFS(Checklist!$L$2:$L$37,9,Checklist!$H$2:$H$37,"Major gap")</f>
        <v>0</v>
      </c>
      <c r="G15" s="16" t="n">
        <f aca="false">COUNTIFS(Checklist!$L$2:$L$37,9,Checklist!$H$2:$H$37,"Not applicable")</f>
        <v>0</v>
      </c>
      <c r="H15" s="16" t="n">
        <f aca="false">COUNTIFS(Checklist!$L$2:$L$37,9,Checklist!$H$2:$H$37,"Not assessed")</f>
        <v>4</v>
      </c>
      <c r="I15" s="17" t="str">
        <f aca="false">IF((C15-G15-H15)=0,"n/a",D15/(C15-G15-H15))</f>
        <v>n/a</v>
      </c>
    </row>
    <row r="16" customFormat="false" ht="15" hidden="false" customHeight="true" outlineLevel="0" collapsed="false">
      <c r="B16" s="15" t="s">
        <v>50</v>
      </c>
      <c r="C16" s="16" t="n">
        <f aca="false">COUNTIF(Checklist!$L$2:$L$37,10)</f>
        <v>3</v>
      </c>
      <c r="D16" s="16" t="n">
        <f aca="false">COUNTIFS(Checklist!$L$2:$L$37,10,Checklist!$H$2:$H$37,"Conforming")</f>
        <v>0</v>
      </c>
      <c r="E16" s="16" t="n">
        <f aca="false">COUNTIFS(Checklist!$L$2:$L$37,10,Checklist!$H$2:$H$37,"Minor gap")</f>
        <v>0</v>
      </c>
      <c r="F16" s="16" t="n">
        <f aca="false">COUNTIFS(Checklist!$L$2:$L$37,10,Checklist!$H$2:$H$37,"Major gap")</f>
        <v>0</v>
      </c>
      <c r="G16" s="16" t="n">
        <f aca="false">COUNTIFS(Checklist!$L$2:$L$37,10,Checklist!$H$2:$H$37,"Not applicable")</f>
        <v>0</v>
      </c>
      <c r="H16" s="16" t="n">
        <f aca="false">COUNTIFS(Checklist!$L$2:$L$37,10,Checklist!$H$2:$H$37,"Not assessed")</f>
        <v>3</v>
      </c>
      <c r="I16" s="17" t="str">
        <f aca="false">IF((C16-G16-H16)=0,"n/a",D16/(C16-G16-H16))</f>
        <v>n/a</v>
      </c>
    </row>
    <row r="17" customFormat="false" ht="15" hidden="false" customHeight="true" outlineLevel="0" collapsed="false">
      <c r="B17" s="8" t="s">
        <v>51</v>
      </c>
      <c r="C17" s="18" t="n">
        <f aca="false">SUM(C10:C16)</f>
        <v>36</v>
      </c>
      <c r="D17" s="18" t="n">
        <f aca="false">SUM(D10:D16)</f>
        <v>0</v>
      </c>
      <c r="E17" s="18" t="n">
        <f aca="false">SUM(E10:E16)</f>
        <v>0</v>
      </c>
      <c r="F17" s="18" t="n">
        <f aca="false">SUM(F10:F16)</f>
        <v>0</v>
      </c>
      <c r="G17" s="18" t="n">
        <f aca="false">SUM(G10:G16)</f>
        <v>0</v>
      </c>
      <c r="H17" s="18" t="n">
        <f aca="false">SUM(H10:H16)</f>
        <v>36</v>
      </c>
      <c r="I17" s="19" t="str">
        <f aca="false">IF((C17-G17-H17)=0,"n/a",D17/(C17-G17-H17))</f>
        <v>n/a</v>
      </c>
    </row>
    <row r="19" customFormat="false" ht="15" hidden="false" customHeight="true" outlineLevel="0" collapsed="false">
      <c r="B19" s="11" t="s">
        <v>52</v>
      </c>
      <c r="C19" s="20" t="n">
        <f aca="false">IF(C17=0,0,(C17-H17)/C17)</f>
        <v>0</v>
      </c>
    </row>
    <row r="20" customFormat="false" ht="15" hidden="false" customHeight="true" outlineLevel="0" collapsed="false">
      <c r="B20" s="11" t="s">
        <v>53</v>
      </c>
      <c r="C20" s="21" t="n">
        <f aca="false">E17+F17</f>
        <v>0</v>
      </c>
    </row>
    <row r="22" customFormat="false" ht="39.75" hidden="false" customHeight="true" outlineLevel="0" collapsed="false">
      <c r="B22" s="11" t="s">
        <v>54</v>
      </c>
      <c r="C22" s="22" t="s">
        <v>55</v>
      </c>
      <c r="D22" s="22"/>
      <c r="E22" s="22"/>
      <c r="F22" s="22"/>
      <c r="G22" s="22"/>
      <c r="H22" s="22"/>
      <c r="I22" s="22"/>
    </row>
    <row r="24" customFormat="false" ht="15" hidden="false" customHeight="false" outlineLevel="0" collapsed="false">
      <c r="B24" s="23" t="s">
        <v>56</v>
      </c>
    </row>
  </sheetData>
  <sheetProtection sheet="true" password="a863" formatColumns="false" formatRows="false" sort="false" autoFilter="false"/>
  <mergeCells count="5">
    <mergeCell ref="C4:F4"/>
    <mergeCell ref="C5:F5"/>
    <mergeCell ref="C6:F6"/>
    <mergeCell ref="C7:F7"/>
    <mergeCell ref="C22:I22"/>
  </mergeCells>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 2026 Cristian La Bella Consulting. All rights reserved. Not for resale or redistribution without written permission.&amp;R&amp;8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4" min="3" style="1" width="38"/>
    <col collapsed="false" customWidth="true" hidden="false" outlineLevel="0" max="5" min="5" style="1" width="40"/>
    <col collapsed="false" customWidth="true" hidden="false" outlineLevel="0" max="6" min="6" style="1" width="38"/>
    <col collapsed="false" customWidth="true" hidden="false" outlineLevel="0" max="7" min="7" style="1" width="34"/>
    <col collapsed="false" customWidth="true" hidden="false" outlineLevel="0" max="8" min="8" style="1" width="16"/>
    <col collapsed="false" customWidth="true" hidden="false" outlineLevel="0" max="9" min="9" style="1" width="40"/>
    <col collapsed="false" customWidth="true" hidden="false" outlineLevel="0" max="10" min="10" style="1" width="16"/>
    <col collapsed="false" customWidth="true" hidden="false" outlineLevel="0" max="11" min="11" style="1" width="13"/>
    <col collapsed="false" customWidth="true" hidden="false" outlineLevel="0" max="12" min="12" style="1" width="10"/>
  </cols>
  <sheetData>
    <row r="1" customFormat="false" ht="31.5" hidden="false" customHeight="true" outlineLevel="0" collapsed="false">
      <c r="A1" s="14" t="s">
        <v>37</v>
      </c>
      <c r="B1" s="14" t="s">
        <v>57</v>
      </c>
      <c r="C1" s="14" t="s">
        <v>58</v>
      </c>
      <c r="D1" s="14" t="s">
        <v>59</v>
      </c>
      <c r="E1" s="14" t="s">
        <v>60</v>
      </c>
      <c r="F1" s="14" t="s">
        <v>61</v>
      </c>
      <c r="G1" s="14" t="s">
        <v>62</v>
      </c>
      <c r="H1" s="14" t="s">
        <v>22</v>
      </c>
      <c r="I1" s="14" t="s">
        <v>24</v>
      </c>
      <c r="J1" s="14" t="s">
        <v>26</v>
      </c>
      <c r="K1" s="14" t="s">
        <v>28</v>
      </c>
      <c r="L1" s="14" t="s">
        <v>63</v>
      </c>
    </row>
    <row r="2" customFormat="false" ht="91.5" hidden="false" customHeight="true" outlineLevel="0" collapsed="false">
      <c r="A2" s="24" t="s">
        <v>64</v>
      </c>
      <c r="B2" s="24" t="s">
        <v>65</v>
      </c>
      <c r="C2" s="25" t="s">
        <v>66</v>
      </c>
      <c r="D2" s="25" t="s">
        <v>67</v>
      </c>
      <c r="E2" s="25" t="s">
        <v>68</v>
      </c>
      <c r="F2" s="25" t="s">
        <v>69</v>
      </c>
      <c r="G2" s="25" t="s">
        <v>70</v>
      </c>
      <c r="H2" s="26" t="s">
        <v>42</v>
      </c>
      <c r="I2" s="26"/>
      <c r="J2" s="26"/>
      <c r="K2" s="27"/>
      <c r="L2" s="28" t="n">
        <f aca="false">VALUE(LEFT(A2,FIND(".",A2)-1))</f>
        <v>4</v>
      </c>
    </row>
    <row r="3" customFormat="false" ht="91.5" hidden="false" customHeight="true" outlineLevel="0" collapsed="false">
      <c r="A3" s="24" t="s">
        <v>71</v>
      </c>
      <c r="B3" s="24" t="s">
        <v>72</v>
      </c>
      <c r="C3" s="25" t="s">
        <v>73</v>
      </c>
      <c r="D3" s="25" t="s">
        <v>74</v>
      </c>
      <c r="E3" s="25" t="s">
        <v>75</v>
      </c>
      <c r="F3" s="25" t="s">
        <v>76</v>
      </c>
      <c r="G3" s="25" t="s">
        <v>77</v>
      </c>
      <c r="H3" s="26" t="s">
        <v>42</v>
      </c>
      <c r="I3" s="26"/>
      <c r="J3" s="26"/>
      <c r="K3" s="27"/>
      <c r="L3" s="28" t="n">
        <f aca="false">VALUE(LEFT(A3,FIND(".",A3)-1))</f>
        <v>4</v>
      </c>
    </row>
    <row r="4" customFormat="false" ht="91.5" hidden="false" customHeight="true" outlineLevel="0" collapsed="false">
      <c r="A4" s="24" t="s">
        <v>78</v>
      </c>
      <c r="B4" s="24" t="s">
        <v>79</v>
      </c>
      <c r="C4" s="25" t="s">
        <v>80</v>
      </c>
      <c r="D4" s="25" t="s">
        <v>81</v>
      </c>
      <c r="E4" s="25" t="s">
        <v>82</v>
      </c>
      <c r="F4" s="25" t="s">
        <v>83</v>
      </c>
      <c r="G4" s="25" t="s">
        <v>84</v>
      </c>
      <c r="H4" s="26" t="s">
        <v>42</v>
      </c>
      <c r="I4" s="26"/>
      <c r="J4" s="26"/>
      <c r="K4" s="27"/>
      <c r="L4" s="28" t="n">
        <f aca="false">VALUE(LEFT(A4,FIND(".",A4)-1))</f>
        <v>4</v>
      </c>
    </row>
    <row r="5" customFormat="false" ht="91.5" hidden="false" customHeight="true" outlineLevel="0" collapsed="false">
      <c r="A5" s="24" t="s">
        <v>85</v>
      </c>
      <c r="B5" s="24" t="s">
        <v>86</v>
      </c>
      <c r="C5" s="25" t="s">
        <v>87</v>
      </c>
      <c r="D5" s="25" t="s">
        <v>88</v>
      </c>
      <c r="E5" s="25" t="s">
        <v>89</v>
      </c>
      <c r="F5" s="25" t="s">
        <v>90</v>
      </c>
      <c r="G5" s="25" t="s">
        <v>91</v>
      </c>
      <c r="H5" s="26" t="s">
        <v>42</v>
      </c>
      <c r="I5" s="26"/>
      <c r="J5" s="26"/>
      <c r="K5" s="27"/>
      <c r="L5" s="28" t="n">
        <f aca="false">VALUE(LEFT(A5,FIND(".",A5)-1))</f>
        <v>4</v>
      </c>
    </row>
    <row r="6" customFormat="false" ht="91.5" hidden="false" customHeight="true" outlineLevel="0" collapsed="false">
      <c r="A6" s="24" t="s">
        <v>92</v>
      </c>
      <c r="B6" s="24" t="s">
        <v>93</v>
      </c>
      <c r="C6" s="25" t="s">
        <v>94</v>
      </c>
      <c r="D6" s="25" t="s">
        <v>95</v>
      </c>
      <c r="E6" s="25" t="s">
        <v>96</v>
      </c>
      <c r="F6" s="25" t="s">
        <v>97</v>
      </c>
      <c r="G6" s="25" t="s">
        <v>98</v>
      </c>
      <c r="H6" s="26" t="s">
        <v>42</v>
      </c>
      <c r="I6" s="26"/>
      <c r="J6" s="26"/>
      <c r="K6" s="27"/>
      <c r="L6" s="28" t="n">
        <f aca="false">VALUE(LEFT(A6,FIND(".",A6)-1))</f>
        <v>5</v>
      </c>
    </row>
    <row r="7" customFormat="false" ht="91.5" hidden="false" customHeight="true" outlineLevel="0" collapsed="false">
      <c r="A7" s="24" t="s">
        <v>99</v>
      </c>
      <c r="B7" s="24" t="s">
        <v>100</v>
      </c>
      <c r="C7" s="25" t="s">
        <v>101</v>
      </c>
      <c r="D7" s="25" t="s">
        <v>102</v>
      </c>
      <c r="E7" s="25" t="s">
        <v>103</v>
      </c>
      <c r="F7" s="25" t="s">
        <v>104</v>
      </c>
      <c r="G7" s="25" t="s">
        <v>105</v>
      </c>
      <c r="H7" s="26" t="s">
        <v>42</v>
      </c>
      <c r="I7" s="26"/>
      <c r="J7" s="26"/>
      <c r="K7" s="27"/>
      <c r="L7" s="28" t="n">
        <f aca="false">VALUE(LEFT(A7,FIND(".",A7)-1))</f>
        <v>5</v>
      </c>
    </row>
    <row r="8" customFormat="false" ht="91.5" hidden="false" customHeight="true" outlineLevel="0" collapsed="false">
      <c r="A8" s="24" t="s">
        <v>106</v>
      </c>
      <c r="B8" s="24" t="s">
        <v>107</v>
      </c>
      <c r="C8" s="25" t="s">
        <v>108</v>
      </c>
      <c r="D8" s="25" t="s">
        <v>109</v>
      </c>
      <c r="E8" s="25" t="s">
        <v>110</v>
      </c>
      <c r="F8" s="25" t="s">
        <v>111</v>
      </c>
      <c r="G8" s="25" t="s">
        <v>112</v>
      </c>
      <c r="H8" s="26" t="s">
        <v>42</v>
      </c>
      <c r="I8" s="26"/>
      <c r="J8" s="26"/>
      <c r="K8" s="27"/>
      <c r="L8" s="28" t="n">
        <f aca="false">VALUE(LEFT(A8,FIND(".",A8)-1))</f>
        <v>5</v>
      </c>
    </row>
    <row r="9" customFormat="false" ht="91.5" hidden="false" customHeight="true" outlineLevel="0" collapsed="false">
      <c r="A9" s="24" t="s">
        <v>113</v>
      </c>
      <c r="B9" s="24" t="s">
        <v>114</v>
      </c>
      <c r="C9" s="25" t="s">
        <v>115</v>
      </c>
      <c r="D9" s="25" t="s">
        <v>116</v>
      </c>
      <c r="E9" s="25" t="s">
        <v>117</v>
      </c>
      <c r="F9" s="25" t="s">
        <v>118</v>
      </c>
      <c r="G9" s="25" t="s">
        <v>119</v>
      </c>
      <c r="H9" s="26" t="s">
        <v>42</v>
      </c>
      <c r="I9" s="26"/>
      <c r="J9" s="26"/>
      <c r="K9" s="27"/>
      <c r="L9" s="28" t="n">
        <f aca="false">VALUE(LEFT(A9,FIND(".",A9)-1))</f>
        <v>6</v>
      </c>
    </row>
    <row r="10" customFormat="false" ht="91.5" hidden="false" customHeight="true" outlineLevel="0" collapsed="false">
      <c r="A10" s="24" t="s">
        <v>120</v>
      </c>
      <c r="B10" s="24" t="s">
        <v>121</v>
      </c>
      <c r="C10" s="25" t="s">
        <v>122</v>
      </c>
      <c r="D10" s="25" t="s">
        <v>123</v>
      </c>
      <c r="E10" s="25" t="s">
        <v>124</v>
      </c>
      <c r="F10" s="25" t="s">
        <v>125</v>
      </c>
      <c r="G10" s="25" t="s">
        <v>126</v>
      </c>
      <c r="H10" s="26" t="s">
        <v>42</v>
      </c>
      <c r="I10" s="26"/>
      <c r="J10" s="26"/>
      <c r="K10" s="27"/>
      <c r="L10" s="28" t="n">
        <f aca="false">VALUE(LEFT(A10,FIND(".",A10)-1))</f>
        <v>6</v>
      </c>
    </row>
    <row r="11" customFormat="false" ht="91.5" hidden="false" customHeight="true" outlineLevel="0" collapsed="false">
      <c r="A11" s="24" t="s">
        <v>127</v>
      </c>
      <c r="B11" s="24" t="s">
        <v>128</v>
      </c>
      <c r="C11" s="25" t="s">
        <v>129</v>
      </c>
      <c r="D11" s="25" t="s">
        <v>130</v>
      </c>
      <c r="E11" s="25" t="s">
        <v>131</v>
      </c>
      <c r="F11" s="25" t="s">
        <v>132</v>
      </c>
      <c r="G11" s="25" t="s">
        <v>133</v>
      </c>
      <c r="H11" s="26" t="s">
        <v>42</v>
      </c>
      <c r="I11" s="26"/>
      <c r="J11" s="26"/>
      <c r="K11" s="27"/>
      <c r="L11" s="28" t="n">
        <f aca="false">VALUE(LEFT(A11,FIND(".",A11)-1))</f>
        <v>6</v>
      </c>
    </row>
    <row r="12" customFormat="false" ht="91.5" hidden="false" customHeight="true" outlineLevel="0" collapsed="false">
      <c r="A12" s="24" t="s">
        <v>134</v>
      </c>
      <c r="B12" s="24" t="s">
        <v>135</v>
      </c>
      <c r="C12" s="25" t="s">
        <v>136</v>
      </c>
      <c r="D12" s="25" t="s">
        <v>137</v>
      </c>
      <c r="E12" s="25" t="s">
        <v>138</v>
      </c>
      <c r="F12" s="25" t="s">
        <v>139</v>
      </c>
      <c r="G12" s="25" t="s">
        <v>140</v>
      </c>
      <c r="H12" s="26" t="s">
        <v>42</v>
      </c>
      <c r="I12" s="26"/>
      <c r="J12" s="26"/>
      <c r="K12" s="27"/>
      <c r="L12" s="28" t="n">
        <f aca="false">VALUE(LEFT(A12,FIND(".",A12)-1))</f>
        <v>7</v>
      </c>
    </row>
    <row r="13" customFormat="false" ht="91.5" hidden="false" customHeight="true" outlineLevel="0" collapsed="false">
      <c r="A13" s="24" t="s">
        <v>141</v>
      </c>
      <c r="B13" s="24" t="s">
        <v>142</v>
      </c>
      <c r="C13" s="25" t="s">
        <v>143</v>
      </c>
      <c r="D13" s="25" t="s">
        <v>144</v>
      </c>
      <c r="E13" s="25" t="s">
        <v>145</v>
      </c>
      <c r="F13" s="25" t="s">
        <v>146</v>
      </c>
      <c r="G13" s="25" t="s">
        <v>147</v>
      </c>
      <c r="H13" s="26" t="s">
        <v>42</v>
      </c>
      <c r="I13" s="26"/>
      <c r="J13" s="26"/>
      <c r="K13" s="27"/>
      <c r="L13" s="28" t="n">
        <f aca="false">VALUE(LEFT(A13,FIND(".",A13)-1))</f>
        <v>7</v>
      </c>
    </row>
    <row r="14" customFormat="false" ht="91.5" hidden="false" customHeight="true" outlineLevel="0" collapsed="false">
      <c r="A14" s="24" t="s">
        <v>148</v>
      </c>
      <c r="B14" s="24" t="s">
        <v>149</v>
      </c>
      <c r="C14" s="25" t="s">
        <v>150</v>
      </c>
      <c r="D14" s="25" t="s">
        <v>151</v>
      </c>
      <c r="E14" s="25" t="s">
        <v>152</v>
      </c>
      <c r="F14" s="25" t="s">
        <v>153</v>
      </c>
      <c r="G14" s="25" t="s">
        <v>154</v>
      </c>
      <c r="H14" s="26" t="s">
        <v>42</v>
      </c>
      <c r="I14" s="26"/>
      <c r="J14" s="26"/>
      <c r="K14" s="27"/>
      <c r="L14" s="28" t="n">
        <f aca="false">VALUE(LEFT(A14,FIND(".",A14)-1))</f>
        <v>7</v>
      </c>
    </row>
    <row r="15" customFormat="false" ht="91.5" hidden="false" customHeight="true" outlineLevel="0" collapsed="false">
      <c r="A15" s="24" t="s">
        <v>155</v>
      </c>
      <c r="B15" s="24" t="s">
        <v>156</v>
      </c>
      <c r="C15" s="25" t="s">
        <v>157</v>
      </c>
      <c r="D15" s="25" t="s">
        <v>158</v>
      </c>
      <c r="E15" s="25" t="s">
        <v>159</v>
      </c>
      <c r="F15" s="25" t="s">
        <v>160</v>
      </c>
      <c r="G15" s="25" t="s">
        <v>161</v>
      </c>
      <c r="H15" s="26" t="s">
        <v>42</v>
      </c>
      <c r="I15" s="26"/>
      <c r="J15" s="26"/>
      <c r="K15" s="27"/>
      <c r="L15" s="28" t="n">
        <f aca="false">VALUE(LEFT(A15,FIND(".",A15)-1))</f>
        <v>7</v>
      </c>
    </row>
    <row r="16" customFormat="false" ht="91.5" hidden="false" customHeight="true" outlineLevel="0" collapsed="false">
      <c r="A16" s="24" t="s">
        <v>162</v>
      </c>
      <c r="B16" s="24" t="s">
        <v>163</v>
      </c>
      <c r="C16" s="25" t="s">
        <v>164</v>
      </c>
      <c r="D16" s="25" t="s">
        <v>165</v>
      </c>
      <c r="E16" s="25" t="s">
        <v>166</v>
      </c>
      <c r="F16" s="25" t="s">
        <v>167</v>
      </c>
      <c r="G16" s="25" t="s">
        <v>168</v>
      </c>
      <c r="H16" s="26" t="s">
        <v>42</v>
      </c>
      <c r="I16" s="26"/>
      <c r="J16" s="26"/>
      <c r="K16" s="27"/>
      <c r="L16" s="28" t="n">
        <f aca="false">VALUE(LEFT(A16,FIND(".",A16)-1))</f>
        <v>7</v>
      </c>
    </row>
    <row r="17" customFormat="false" ht="91.5" hidden="false" customHeight="true" outlineLevel="0" collapsed="false">
      <c r="A17" s="24" t="s">
        <v>169</v>
      </c>
      <c r="B17" s="24" t="s">
        <v>170</v>
      </c>
      <c r="C17" s="25" t="s">
        <v>171</v>
      </c>
      <c r="D17" s="25" t="s">
        <v>172</v>
      </c>
      <c r="E17" s="25" t="s">
        <v>173</v>
      </c>
      <c r="F17" s="25" t="s">
        <v>174</v>
      </c>
      <c r="G17" s="25" t="s">
        <v>175</v>
      </c>
      <c r="H17" s="26" t="s">
        <v>42</v>
      </c>
      <c r="I17" s="26"/>
      <c r="J17" s="26"/>
      <c r="K17" s="27"/>
      <c r="L17" s="28" t="n">
        <f aca="false">VALUE(LEFT(A17,FIND(".",A17)-1))</f>
        <v>7</v>
      </c>
    </row>
    <row r="18" customFormat="false" ht="91.5" hidden="false" customHeight="true" outlineLevel="0" collapsed="false">
      <c r="A18" s="24" t="s">
        <v>176</v>
      </c>
      <c r="B18" s="24" t="s">
        <v>177</v>
      </c>
      <c r="C18" s="25" t="s">
        <v>178</v>
      </c>
      <c r="D18" s="25" t="s">
        <v>179</v>
      </c>
      <c r="E18" s="25" t="s">
        <v>180</v>
      </c>
      <c r="F18" s="25" t="s">
        <v>181</v>
      </c>
      <c r="G18" s="25" t="s">
        <v>182</v>
      </c>
      <c r="H18" s="26" t="s">
        <v>42</v>
      </c>
      <c r="I18" s="26"/>
      <c r="J18" s="26"/>
      <c r="K18" s="27"/>
      <c r="L18" s="28" t="n">
        <f aca="false">VALUE(LEFT(A18,FIND(".",A18)-1))</f>
        <v>7</v>
      </c>
    </row>
    <row r="19" customFormat="false" ht="91.5" hidden="false" customHeight="true" outlineLevel="0" collapsed="false">
      <c r="A19" s="24" t="s">
        <v>183</v>
      </c>
      <c r="B19" s="24" t="s">
        <v>184</v>
      </c>
      <c r="C19" s="25" t="s">
        <v>185</v>
      </c>
      <c r="D19" s="25" t="s">
        <v>186</v>
      </c>
      <c r="E19" s="25" t="s">
        <v>187</v>
      </c>
      <c r="F19" s="25" t="s">
        <v>188</v>
      </c>
      <c r="G19" s="25" t="s">
        <v>189</v>
      </c>
      <c r="H19" s="26" t="s">
        <v>42</v>
      </c>
      <c r="I19" s="26"/>
      <c r="J19" s="26"/>
      <c r="K19" s="27"/>
      <c r="L19" s="28" t="n">
        <f aca="false">VALUE(LEFT(A19,FIND(".",A19)-1))</f>
        <v>8</v>
      </c>
    </row>
    <row r="20" customFormat="false" ht="91.5" hidden="false" customHeight="true" outlineLevel="0" collapsed="false">
      <c r="A20" s="24" t="s">
        <v>190</v>
      </c>
      <c r="B20" s="24" t="s">
        <v>191</v>
      </c>
      <c r="C20" s="25" t="s">
        <v>192</v>
      </c>
      <c r="D20" s="25" t="s">
        <v>193</v>
      </c>
      <c r="E20" s="25" t="s">
        <v>194</v>
      </c>
      <c r="F20" s="25" t="s">
        <v>195</v>
      </c>
      <c r="G20" s="25" t="s">
        <v>196</v>
      </c>
      <c r="H20" s="26" t="s">
        <v>42</v>
      </c>
      <c r="I20" s="26"/>
      <c r="J20" s="26"/>
      <c r="K20" s="27"/>
      <c r="L20" s="28" t="n">
        <f aca="false">VALUE(LEFT(A20,FIND(".",A20)-1))</f>
        <v>8</v>
      </c>
    </row>
    <row r="21" customFormat="false" ht="91.5" hidden="false" customHeight="true" outlineLevel="0" collapsed="false">
      <c r="A21" s="24" t="s">
        <v>197</v>
      </c>
      <c r="B21" s="24" t="s">
        <v>198</v>
      </c>
      <c r="C21" s="25" t="s">
        <v>199</v>
      </c>
      <c r="D21" s="25" t="s">
        <v>200</v>
      </c>
      <c r="E21" s="25" t="s">
        <v>201</v>
      </c>
      <c r="F21" s="25" t="s">
        <v>202</v>
      </c>
      <c r="G21" s="25" t="s">
        <v>203</v>
      </c>
      <c r="H21" s="26" t="s">
        <v>42</v>
      </c>
      <c r="I21" s="26"/>
      <c r="J21" s="26"/>
      <c r="K21" s="27"/>
      <c r="L21" s="28" t="n">
        <f aca="false">VALUE(LEFT(A21,FIND(".",A21)-1))</f>
        <v>8</v>
      </c>
    </row>
    <row r="22" customFormat="false" ht="91.5" hidden="false" customHeight="true" outlineLevel="0" collapsed="false">
      <c r="A22" s="24" t="s">
        <v>204</v>
      </c>
      <c r="B22" s="24" t="s">
        <v>205</v>
      </c>
      <c r="C22" s="25" t="s">
        <v>206</v>
      </c>
      <c r="D22" s="25" t="s">
        <v>207</v>
      </c>
      <c r="E22" s="25" t="s">
        <v>208</v>
      </c>
      <c r="F22" s="25" t="s">
        <v>209</v>
      </c>
      <c r="G22" s="25" t="s">
        <v>210</v>
      </c>
      <c r="H22" s="26" t="s">
        <v>42</v>
      </c>
      <c r="I22" s="26"/>
      <c r="J22" s="26"/>
      <c r="K22" s="27"/>
      <c r="L22" s="28" t="n">
        <f aca="false">VALUE(LEFT(A22,FIND(".",A22)-1))</f>
        <v>8</v>
      </c>
    </row>
    <row r="23" customFormat="false" ht="91.5" hidden="false" customHeight="true" outlineLevel="0" collapsed="false">
      <c r="A23" s="24" t="s">
        <v>211</v>
      </c>
      <c r="B23" s="24" t="s">
        <v>212</v>
      </c>
      <c r="C23" s="25" t="s">
        <v>213</v>
      </c>
      <c r="D23" s="25" t="s">
        <v>214</v>
      </c>
      <c r="E23" s="25" t="s">
        <v>215</v>
      </c>
      <c r="F23" s="25" t="s">
        <v>216</v>
      </c>
      <c r="G23" s="25" t="s">
        <v>217</v>
      </c>
      <c r="H23" s="26" t="s">
        <v>42</v>
      </c>
      <c r="I23" s="26"/>
      <c r="J23" s="26"/>
      <c r="K23" s="27"/>
      <c r="L23" s="28" t="n">
        <f aca="false">VALUE(LEFT(A23,FIND(".",A23)-1))</f>
        <v>8</v>
      </c>
    </row>
    <row r="24" customFormat="false" ht="91.5" hidden="false" customHeight="true" outlineLevel="0" collapsed="false">
      <c r="A24" s="24" t="s">
        <v>218</v>
      </c>
      <c r="B24" s="24" t="s">
        <v>219</v>
      </c>
      <c r="C24" s="25" t="s">
        <v>220</v>
      </c>
      <c r="D24" s="25" t="s">
        <v>221</v>
      </c>
      <c r="E24" s="25" t="s">
        <v>222</v>
      </c>
      <c r="F24" s="25" t="s">
        <v>223</v>
      </c>
      <c r="G24" s="25" t="s">
        <v>224</v>
      </c>
      <c r="H24" s="26" t="s">
        <v>42</v>
      </c>
      <c r="I24" s="26"/>
      <c r="J24" s="26"/>
      <c r="K24" s="27"/>
      <c r="L24" s="28" t="n">
        <f aca="false">VALUE(LEFT(A24,FIND(".",A24)-1))</f>
        <v>8</v>
      </c>
    </row>
    <row r="25" customFormat="false" ht="91.5" hidden="false" customHeight="true" outlineLevel="0" collapsed="false">
      <c r="A25" s="24" t="s">
        <v>225</v>
      </c>
      <c r="B25" s="24" t="s">
        <v>226</v>
      </c>
      <c r="C25" s="25" t="s">
        <v>227</v>
      </c>
      <c r="D25" s="25" t="s">
        <v>228</v>
      </c>
      <c r="E25" s="25" t="s">
        <v>229</v>
      </c>
      <c r="F25" s="25" t="s">
        <v>230</v>
      </c>
      <c r="G25" s="25" t="s">
        <v>231</v>
      </c>
      <c r="H25" s="26" t="s">
        <v>42</v>
      </c>
      <c r="I25" s="26"/>
      <c r="J25" s="26"/>
      <c r="K25" s="27"/>
      <c r="L25" s="28" t="n">
        <f aca="false">VALUE(LEFT(A25,FIND(".",A25)-1))</f>
        <v>8</v>
      </c>
    </row>
    <row r="26" customFormat="false" ht="91.5" hidden="false" customHeight="true" outlineLevel="0" collapsed="false">
      <c r="A26" s="24" t="s">
        <v>232</v>
      </c>
      <c r="B26" s="24" t="s">
        <v>233</v>
      </c>
      <c r="C26" s="25" t="s">
        <v>234</v>
      </c>
      <c r="D26" s="25" t="s">
        <v>235</v>
      </c>
      <c r="E26" s="25" t="s">
        <v>236</v>
      </c>
      <c r="F26" s="25" t="s">
        <v>237</v>
      </c>
      <c r="G26" s="25" t="s">
        <v>238</v>
      </c>
      <c r="H26" s="26" t="s">
        <v>42</v>
      </c>
      <c r="I26" s="26"/>
      <c r="J26" s="26"/>
      <c r="K26" s="27"/>
      <c r="L26" s="28" t="n">
        <f aca="false">VALUE(LEFT(A26,FIND(".",A26)-1))</f>
        <v>8</v>
      </c>
    </row>
    <row r="27" customFormat="false" ht="91.5" hidden="false" customHeight="true" outlineLevel="0" collapsed="false">
      <c r="A27" s="24" t="s">
        <v>239</v>
      </c>
      <c r="B27" s="24" t="s">
        <v>240</v>
      </c>
      <c r="C27" s="25" t="s">
        <v>241</v>
      </c>
      <c r="D27" s="25" t="s">
        <v>242</v>
      </c>
      <c r="E27" s="25" t="s">
        <v>243</v>
      </c>
      <c r="F27" s="25" t="s">
        <v>244</v>
      </c>
      <c r="G27" s="25" t="s">
        <v>245</v>
      </c>
      <c r="H27" s="26" t="s">
        <v>42</v>
      </c>
      <c r="I27" s="26"/>
      <c r="J27" s="26"/>
      <c r="K27" s="27"/>
      <c r="L27" s="28" t="n">
        <f aca="false">VALUE(LEFT(A27,FIND(".",A27)-1))</f>
        <v>8</v>
      </c>
    </row>
    <row r="28" customFormat="false" ht="91.5" hidden="false" customHeight="true" outlineLevel="0" collapsed="false">
      <c r="A28" s="24" t="s">
        <v>246</v>
      </c>
      <c r="B28" s="24" t="s">
        <v>247</v>
      </c>
      <c r="C28" s="25" t="s">
        <v>248</v>
      </c>
      <c r="D28" s="25" t="s">
        <v>249</v>
      </c>
      <c r="E28" s="25" t="s">
        <v>250</v>
      </c>
      <c r="F28" s="25" t="s">
        <v>251</v>
      </c>
      <c r="G28" s="25" t="s">
        <v>252</v>
      </c>
      <c r="H28" s="26" t="s">
        <v>42</v>
      </c>
      <c r="I28" s="26"/>
      <c r="J28" s="26"/>
      <c r="K28" s="27"/>
      <c r="L28" s="28" t="n">
        <f aca="false">VALUE(LEFT(A28,FIND(".",A28)-1))</f>
        <v>8</v>
      </c>
    </row>
    <row r="29" customFormat="false" ht="91.5" hidden="false" customHeight="true" outlineLevel="0" collapsed="false">
      <c r="A29" s="24" t="s">
        <v>253</v>
      </c>
      <c r="B29" s="24" t="s">
        <v>254</v>
      </c>
      <c r="C29" s="25" t="s">
        <v>255</v>
      </c>
      <c r="D29" s="25" t="s">
        <v>256</v>
      </c>
      <c r="E29" s="25" t="s">
        <v>257</v>
      </c>
      <c r="F29" s="25" t="s">
        <v>258</v>
      </c>
      <c r="G29" s="25" t="s">
        <v>259</v>
      </c>
      <c r="H29" s="26" t="s">
        <v>42</v>
      </c>
      <c r="I29" s="26"/>
      <c r="J29" s="26"/>
      <c r="K29" s="27"/>
      <c r="L29" s="28" t="n">
        <f aca="false">VALUE(LEFT(A29,FIND(".",A29)-1))</f>
        <v>8</v>
      </c>
    </row>
    <row r="30" customFormat="false" ht="91.5" hidden="false" customHeight="true" outlineLevel="0" collapsed="false">
      <c r="A30" s="24" t="s">
        <v>260</v>
      </c>
      <c r="B30" s="24" t="s">
        <v>261</v>
      </c>
      <c r="C30" s="25" t="s">
        <v>262</v>
      </c>
      <c r="D30" s="25" t="s">
        <v>263</v>
      </c>
      <c r="E30" s="25" t="s">
        <v>264</v>
      </c>
      <c r="F30" s="25" t="s">
        <v>265</v>
      </c>
      <c r="G30" s="25" t="s">
        <v>266</v>
      </c>
      <c r="H30" s="26" t="s">
        <v>42</v>
      </c>
      <c r="I30" s="26"/>
      <c r="J30" s="26"/>
      <c r="K30" s="27"/>
      <c r="L30" s="28" t="n">
        <f aca="false">VALUE(LEFT(A30,FIND(".",A30)-1))</f>
        <v>8</v>
      </c>
    </row>
    <row r="31" customFormat="false" ht="91.5" hidden="false" customHeight="true" outlineLevel="0" collapsed="false">
      <c r="A31" s="24" t="s">
        <v>267</v>
      </c>
      <c r="B31" s="24" t="s">
        <v>268</v>
      </c>
      <c r="C31" s="25" t="s">
        <v>269</v>
      </c>
      <c r="D31" s="25" t="s">
        <v>270</v>
      </c>
      <c r="E31" s="25" t="s">
        <v>271</v>
      </c>
      <c r="F31" s="25" t="s">
        <v>272</v>
      </c>
      <c r="G31" s="25" t="s">
        <v>273</v>
      </c>
      <c r="H31" s="26" t="s">
        <v>42</v>
      </c>
      <c r="I31" s="26"/>
      <c r="J31" s="26"/>
      <c r="K31" s="27"/>
      <c r="L31" s="28" t="n">
        <f aca="false">VALUE(LEFT(A31,FIND(".",A31)-1))</f>
        <v>9</v>
      </c>
    </row>
    <row r="32" customFormat="false" ht="91.5" hidden="false" customHeight="true" outlineLevel="0" collapsed="false">
      <c r="A32" s="24" t="s">
        <v>274</v>
      </c>
      <c r="B32" s="24" t="s">
        <v>275</v>
      </c>
      <c r="C32" s="25" t="s">
        <v>276</v>
      </c>
      <c r="D32" s="25" t="s">
        <v>277</v>
      </c>
      <c r="E32" s="25" t="s">
        <v>278</v>
      </c>
      <c r="F32" s="25" t="s">
        <v>279</v>
      </c>
      <c r="G32" s="25" t="s">
        <v>280</v>
      </c>
      <c r="H32" s="26" t="s">
        <v>42</v>
      </c>
      <c r="I32" s="26"/>
      <c r="J32" s="26"/>
      <c r="K32" s="27"/>
      <c r="L32" s="28" t="n">
        <f aca="false">VALUE(LEFT(A32,FIND(".",A32)-1))</f>
        <v>9</v>
      </c>
    </row>
    <row r="33" customFormat="false" ht="91.5" hidden="false" customHeight="true" outlineLevel="0" collapsed="false">
      <c r="A33" s="24" t="s">
        <v>281</v>
      </c>
      <c r="B33" s="24" t="s">
        <v>282</v>
      </c>
      <c r="C33" s="25" t="s">
        <v>283</v>
      </c>
      <c r="D33" s="25" t="s">
        <v>284</v>
      </c>
      <c r="E33" s="25" t="s">
        <v>285</v>
      </c>
      <c r="F33" s="25" t="s">
        <v>286</v>
      </c>
      <c r="G33" s="25" t="s">
        <v>287</v>
      </c>
      <c r="H33" s="26" t="s">
        <v>42</v>
      </c>
      <c r="I33" s="26"/>
      <c r="J33" s="26"/>
      <c r="K33" s="27"/>
      <c r="L33" s="28" t="n">
        <f aca="false">VALUE(LEFT(A33,FIND(".",A33)-1))</f>
        <v>9</v>
      </c>
    </row>
    <row r="34" customFormat="false" ht="91.5" hidden="false" customHeight="true" outlineLevel="0" collapsed="false">
      <c r="A34" s="24" t="s">
        <v>288</v>
      </c>
      <c r="B34" s="24" t="s">
        <v>289</v>
      </c>
      <c r="C34" s="25" t="s">
        <v>290</v>
      </c>
      <c r="D34" s="25" t="s">
        <v>291</v>
      </c>
      <c r="E34" s="25" t="s">
        <v>292</v>
      </c>
      <c r="F34" s="25" t="s">
        <v>293</v>
      </c>
      <c r="G34" s="25" t="s">
        <v>294</v>
      </c>
      <c r="H34" s="26" t="s">
        <v>42</v>
      </c>
      <c r="I34" s="26"/>
      <c r="J34" s="26"/>
      <c r="K34" s="27"/>
      <c r="L34" s="28" t="n">
        <f aca="false">VALUE(LEFT(A34,FIND(".",A34)-1))</f>
        <v>9</v>
      </c>
    </row>
    <row r="35" customFormat="false" ht="91.5" hidden="false" customHeight="true" outlineLevel="0" collapsed="false">
      <c r="A35" s="24" t="s">
        <v>295</v>
      </c>
      <c r="B35" s="24" t="s">
        <v>296</v>
      </c>
      <c r="C35" s="25" t="s">
        <v>297</v>
      </c>
      <c r="D35" s="25" t="s">
        <v>298</v>
      </c>
      <c r="E35" s="25" t="s">
        <v>299</v>
      </c>
      <c r="F35" s="25" t="s">
        <v>300</v>
      </c>
      <c r="G35" s="25" t="s">
        <v>301</v>
      </c>
      <c r="H35" s="26" t="s">
        <v>42</v>
      </c>
      <c r="I35" s="26"/>
      <c r="J35" s="26"/>
      <c r="K35" s="27"/>
      <c r="L35" s="28" t="n">
        <f aca="false">VALUE(LEFT(A35,FIND(".",A35)-1))</f>
        <v>10</v>
      </c>
    </row>
    <row r="36" customFormat="false" ht="91.5" hidden="false" customHeight="true" outlineLevel="0" collapsed="false">
      <c r="A36" s="24" t="s">
        <v>302</v>
      </c>
      <c r="B36" s="24" t="s">
        <v>303</v>
      </c>
      <c r="C36" s="25" t="s">
        <v>304</v>
      </c>
      <c r="D36" s="25" t="s">
        <v>305</v>
      </c>
      <c r="E36" s="25" t="s">
        <v>306</v>
      </c>
      <c r="F36" s="25" t="s">
        <v>307</v>
      </c>
      <c r="G36" s="25" t="s">
        <v>308</v>
      </c>
      <c r="H36" s="26" t="s">
        <v>42</v>
      </c>
      <c r="I36" s="26"/>
      <c r="J36" s="26"/>
      <c r="K36" s="27"/>
      <c r="L36" s="28" t="n">
        <f aca="false">VALUE(LEFT(A36,FIND(".",A36)-1))</f>
        <v>10</v>
      </c>
    </row>
    <row r="37" customFormat="false" ht="91.5" hidden="false" customHeight="true" outlineLevel="0" collapsed="false">
      <c r="A37" s="24" t="s">
        <v>309</v>
      </c>
      <c r="B37" s="24" t="s">
        <v>310</v>
      </c>
      <c r="C37" s="25" t="s">
        <v>311</v>
      </c>
      <c r="D37" s="25" t="s">
        <v>312</v>
      </c>
      <c r="E37" s="25" t="s">
        <v>313</v>
      </c>
      <c r="F37" s="25" t="s">
        <v>314</v>
      </c>
      <c r="G37" s="25" t="s">
        <v>315</v>
      </c>
      <c r="H37" s="26" t="s">
        <v>42</v>
      </c>
      <c r="I37" s="26"/>
      <c r="J37" s="26"/>
      <c r="K37" s="27"/>
      <c r="L37" s="28" t="n">
        <f aca="false">VALUE(LEFT(A37,FIND(".",A37)-1))</f>
        <v>10</v>
      </c>
    </row>
  </sheetData>
  <sheetProtection sheet="true" password="a863" formatColumns="false" formatRows="false" sort="false" autoFilter="false"/>
  <autoFilter ref="A1:L37"/>
  <conditionalFormatting sqref="H2:H37">
    <cfRule type="cellIs" priority="2" operator="equal" aboveAverage="0" equalAverage="0" bottom="0" percent="0" rank="0" text="" dxfId="4">
      <formula>"Conforming"</formula>
    </cfRule>
    <cfRule type="cellIs" priority="3" operator="equal" aboveAverage="0" equalAverage="0" bottom="0" percent="0" rank="0" text="" dxfId="5">
      <formula>"Minor gap"</formula>
    </cfRule>
    <cfRule type="cellIs" priority="4" operator="equal" aboveAverage="0" equalAverage="0" bottom="0" percent="0" rank="0" text="" dxfId="6">
      <formula>"Major gap"</formula>
    </cfRule>
    <cfRule type="cellIs" priority="5" operator="equal" aboveAverage="0" equalAverage="0" bottom="0" percent="0" rank="0" text="" dxfId="7">
      <formula>"Not applicable"</formula>
    </cfRule>
  </conditionalFormatting>
  <dataValidations count="1">
    <dataValidation allowBlank="false" error="Choose a value from the list." errorStyle="stop" errorTitle="Invalid status" operator="between" showDropDown="false" showErrorMessage="true" showInputMessage="false" sqref="H2:H37" type="list">
      <formula1>"Conforming,Minor gap,Major gap,Not applicable,Not assessed"</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 2026 Cristian La Bella Consulting. All rights reserved. Not for resale or redistribution without written permission.&amp;R&amp;8 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100"/>
  </cols>
  <sheetData>
    <row r="2" customFormat="false" ht="19.5" hidden="false" customHeight="true" outlineLevel="0" collapsed="false">
      <c r="B2" s="2" t="s">
        <v>316</v>
      </c>
    </row>
    <row r="4" customFormat="false" ht="15" hidden="false" customHeight="true" outlineLevel="0" collapsed="false">
      <c r="B4" s="7" t="s">
        <v>317</v>
      </c>
    </row>
    <row r="5" customFormat="false" ht="18" hidden="false" customHeight="true" outlineLevel="0" collapsed="false">
      <c r="B5" s="6" t="s">
        <v>318</v>
      </c>
      <c r="C5" s="5" t="s">
        <v>319</v>
      </c>
    </row>
    <row r="6" customFormat="false" ht="18" hidden="false" customHeight="true" outlineLevel="0" collapsed="false">
      <c r="B6" s="6" t="s">
        <v>320</v>
      </c>
      <c r="C6" s="5" t="s">
        <v>321</v>
      </c>
    </row>
    <row r="7" customFormat="false" ht="18" hidden="false" customHeight="true" outlineLevel="0" collapsed="false">
      <c r="B7" s="6" t="s">
        <v>322</v>
      </c>
      <c r="C7" s="5" t="s">
        <v>323</v>
      </c>
    </row>
    <row r="8" customFormat="false" ht="18" hidden="false" customHeight="true" outlineLevel="0" collapsed="false">
      <c r="B8" s="6" t="s">
        <v>324</v>
      </c>
      <c r="C8" s="5" t="s">
        <v>325</v>
      </c>
    </row>
    <row r="9" customFormat="false" ht="15" hidden="false" customHeight="true" outlineLevel="0" collapsed="false">
      <c r="B9" s="7" t="s">
        <v>326</v>
      </c>
    </row>
    <row r="10" customFormat="false" ht="31.5" hidden="false" customHeight="true" outlineLevel="0" collapsed="false">
      <c r="B10" s="6" t="s">
        <v>327</v>
      </c>
      <c r="C10" s="5" t="s">
        <v>328</v>
      </c>
    </row>
    <row r="11" customFormat="false" ht="18" hidden="false" customHeight="true" outlineLevel="0" collapsed="false">
      <c r="B11" s="6" t="s">
        <v>329</v>
      </c>
      <c r="C11" s="5" t="s">
        <v>330</v>
      </c>
    </row>
    <row r="12" customFormat="false" ht="18" hidden="false" customHeight="true" outlineLevel="0" collapsed="false">
      <c r="B12" s="6" t="s">
        <v>331</v>
      </c>
      <c r="C12" s="5" t="s">
        <v>332</v>
      </c>
    </row>
    <row r="13" customFormat="false" ht="18" hidden="false" customHeight="true" outlineLevel="0" collapsed="false">
      <c r="B13" s="6" t="s">
        <v>333</v>
      </c>
      <c r="C13" s="5" t="s">
        <v>334</v>
      </c>
    </row>
    <row r="14" customFormat="false" ht="15" hidden="false" customHeight="true" outlineLevel="0" collapsed="false">
      <c r="B14" s="7" t="s">
        <v>335</v>
      </c>
    </row>
    <row r="15" customFormat="false" ht="31.5" hidden="false" customHeight="true" outlineLevel="0" collapsed="false">
      <c r="B15" s="6" t="s">
        <v>336</v>
      </c>
      <c r="C15" s="5" t="s">
        <v>337</v>
      </c>
    </row>
    <row r="16" customFormat="false" ht="31.5" hidden="false" customHeight="true" outlineLevel="0" collapsed="false">
      <c r="B16" s="6" t="s">
        <v>338</v>
      </c>
      <c r="C16" s="5" t="s">
        <v>339</v>
      </c>
    </row>
    <row r="17" customFormat="false" ht="31.5" hidden="false" customHeight="true" outlineLevel="0" collapsed="false">
      <c r="B17" s="6" t="s">
        <v>340</v>
      </c>
      <c r="C17" s="5" t="s">
        <v>341</v>
      </c>
    </row>
    <row r="19" customFormat="false" ht="15" hidden="false" customHeight="false" outlineLevel="0" collapsed="false">
      <c r="B19" s="23" t="s">
        <v>56</v>
      </c>
    </row>
  </sheetData>
  <sheetProtection sheet="true" password="a863" formatColumns="false" formatRows="false" sort="false" autoFilter="false"/>
  <printOptions headings="false" gridLines="false" gridLinesSet="true" horizontalCentered="false" verticalCentered="false"/>
  <pageMargins left="0.75" right="0.75"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&amp;L&amp;8 © 2026 Cristian La Bella Consulting. All rights reserved. Not for resale or redistribution without written permission.&amp;R&amp;8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2026-10-14T04:35:12Z</dcterms:created>
  <dc:creator>Cristian La Bella</dc:creator>
  <dc:description/>
  <dc:language>en-US</dc:language>
  <cp:lastModifiedBy>Cristian La Bella</cp:lastModifiedBy>
  <dcterms:modified xsi:type="dcterms:W3CDTF">2026-10-14T08:16:04Z</dcterms:modified>
  <cp:revision>0</cp:revision>
  <dc:subject/>
  <dc:title>ISO 9001:2015 Gap Assessment Workbook v1.0</dc:title>
</cp:coreProperties>
</file>

<file path=docProps/custom.xml><?xml version="1.0" encoding="utf-8"?>
<Properties xmlns="http://schemas.openxmlformats.org/officeDocument/2006/custom-properties" xmlns:vt="http://schemas.openxmlformats.org/officeDocument/2006/docPropsVTypes"/>
</file>