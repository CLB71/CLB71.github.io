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Checklist" sheetId="3" state="visible" r:id="rId5"/>
    <sheet name="Aerospace Reference" sheetId="4" state="visible" r:id="rId6"/>
    <sheet name="AI Use Guide" sheetId="5" state="visible" r:id="rId7"/>
  </sheets>
  <definedNames>
    <definedName function="false" hidden="false" localSheetId="2" name="_xlnm.Print_Titles" vbProcedure="false">Checklist!$1:$1</definedName>
    <definedName function="false" hidden="true" localSheetId="2" name="_xlnm._FilterDatabase" vbProcedure="false">Checklist!$A$1:$M$89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<sst xmlns="http://schemas.openxmlformats.org/spreadsheetml/2006/main" count="1006" uniqueCount="787">
  <si>
    <t xml:space="preserve">AS9100D Gap Assessment Workbook</t>
  </si>
  <si>
    <t xml:space="preserve">Clauses 4–10 | Aerospace, space and defense | Field tool for readiness assessments | Version 1.0, October 2026</t>
  </si>
  <si>
    <t xml:space="preserve">How to use</t>
  </si>
  <si>
    <t xml:space="preserve">1. Set up</t>
  </si>
  <si>
    <t xml:space="preserve">Enter the client, site or scope, auditor and date on the Summary sheet. Decide the boundary first: one process, one department or one site.</t>
  </si>
  <si>
    <t xml:space="preserve">2. Assess</t>
  </si>
  <si>
    <t xml:space="preserve">On the Checklist sheet, work clause by clause. Ask the audit question, request the evidence listed, compare what you see with the common findings, and use the follow-up question to test depth.</t>
  </si>
  <si>
    <t xml:space="preserve">3. Record</t>
  </si>
  <si>
    <t xml:space="preserve">Fill the shaded cream cells only: Status (dropdown), Evidence seen / notes, Owner, Target date.</t>
  </si>
  <si>
    <t xml:space="preserve">4. Review</t>
  </si>
  <si>
    <t xml:space="preserve">The Summary sheet updates automatically from your statuses, by clause and by requirement source.</t>
  </si>
  <si>
    <t xml:space="preserve">5. Act</t>
  </si>
  <si>
    <t xml:space="preserve">Turn every gap into an action with an owner and a date, and re-assess after closure to confirm the gap is really gone.</t>
  </si>
  <si>
    <t xml:space="preserve">Status values</t>
  </si>
  <si>
    <t xml:space="preserve">Conforming | Minor gap | Major gap | Not applicable (justify in notes) | Not assessed (default)</t>
  </si>
  <si>
    <t xml:space="preserve">Legend</t>
  </si>
  <si>
    <t xml:space="preserve">Shaded cream cells = your input. Everything else is reference content or formulas.</t>
  </si>
  <si>
    <t xml:space="preserve">Source column</t>
  </si>
  <si>
    <t xml:space="preserve">ISO 9001 base = requirement that exists in ISO 9001:2015. AS9100D addition = aerospace-specific requirement. Mixed = the row combines both. Use it to separate a basic ISO 9001 weakness from an aerospace-specific gap.</t>
  </si>
  <si>
    <t xml:space="preserve">Related IAQG docs</t>
  </si>
  <si>
    <t xml:space="preserve">Lists IAQG 9100-series documents that support the clause (for example 9102 first article inspection, 9103 key characteristics). Taken from the standard's own cross-reference annex. They are supporting documents; check whether the customer contract makes them mandatory.</t>
  </si>
  <si>
    <t xml:space="preserve">Which standard?</t>
  </si>
  <si>
    <t xml:space="preserve">This workbook is for organizations that design, develop or produce aviation, space and defense products. Maintenance organizations use 9110, distributors use 9120, and deliverable software is covered by 9115 in addition to 9100.</t>
  </si>
  <si>
    <t xml:space="preserve">Edition note</t>
  </si>
  <si>
    <t xml:space="preserve">Based on AS9100 Rev D (September 2016). The IAQG is revising the 9100 series (to be published as IA9100). Check which edition your customer and certification body apply, and treat this workbook as a basis for the current edition.</t>
  </si>
  <si>
    <t xml:space="preserve">Important</t>
  </si>
  <si>
    <t xml:space="preserve">Clause text is paraphrased for field use and is not a reproduction of the standard. AS9100D is copyrighted by SAE International and the IAQG, and includes ISO 9001:2015 text used with ISO permission. Always verify requirements against the licensed standard. This workbook supports, and does not replace, auditor judgment. Findings are indicative, not a certification decision.</t>
  </si>
  <si>
    <t xml:space="preserve">AI-assisted use</t>
  </si>
  <si>
    <t xml:space="preserve">See the AI Use Guide sheet for where AI helps, what to keep out of it (including export-controlled data), and starter prompts.</t>
  </si>
  <si>
    <t xml:space="preserve">Example of a completed row</t>
  </si>
  <si>
    <t xml:space="preserve">Ref / Clause</t>
  </si>
  <si>
    <t xml:space="preserve">8.4.1.1 Provider approval status and register</t>
  </si>
  <si>
    <t xml:space="preserve">Status</t>
  </si>
  <si>
    <t xml:space="preserve">Minor gap</t>
  </si>
  <si>
    <t xml:space="preserve">Evidence seen / notes</t>
  </si>
  <si>
    <t xml:space="preserve">Approved provider register reviewed; 4 of 60 active providers have no approval scope recorded. 1 of 5 sampled purchase orders (PO 1042) placed with a provider marked conditional, no documented release for the conditional use. Customer-designated source list not cross-checked against the register.</t>
  </si>
  <si>
    <t xml:space="preserve">Owner</t>
  </si>
  <si>
    <t xml:space="preserve">Purchasing Manager</t>
  </si>
  <si>
    <t xml:space="preserve">Target date</t>
  </si>
  <si>
    <t xml:space="preserve">2026-12-15</t>
  </si>
  <si>
    <t xml:space="preserve">© 2026 Cristian La Bella Consulting. All rights reserved. | cristianlabella.com</t>
  </si>
  <si>
    <t xml:space="preserve">Assessment Summary</t>
  </si>
  <si>
    <t xml:space="preserve">Client</t>
  </si>
  <si>
    <t xml:space="preserve">Site / scope</t>
  </si>
  <si>
    <t xml:space="preserve">Auditor</t>
  </si>
  <si>
    <t xml:space="preserve">Assessment date</t>
  </si>
  <si>
    <t xml:space="preserve">Clause</t>
  </si>
  <si>
    <t xml:space="preserve">Items</t>
  </si>
  <si>
    <t xml:space="preserve">Conforming</t>
  </si>
  <si>
    <t xml:space="preserve">Major gap</t>
  </si>
  <si>
    <t xml:space="preserve">Not applicable</t>
  </si>
  <si>
    <t xml:space="preserve">Not assessed</t>
  </si>
  <si>
    <t xml:space="preserve">Conformity %</t>
  </si>
  <si>
    <t xml:space="preserve">4 Context of the organization</t>
  </si>
  <si>
    <t xml:space="preserve">5 Leadership</t>
  </si>
  <si>
    <t xml:space="preserve">6 Planning</t>
  </si>
  <si>
    <t xml:space="preserve">7 Support</t>
  </si>
  <si>
    <t xml:space="preserve">8 Operation</t>
  </si>
  <si>
    <t xml:space="preserve">9 Performance evaluation</t>
  </si>
  <si>
    <t xml:space="preserve">10 Improvement</t>
  </si>
  <si>
    <t xml:space="preserve">TOTAL</t>
  </si>
  <si>
    <t xml:space="preserve">Assessed %</t>
  </si>
  <si>
    <t xml:space="preserve">Open gaps (minor + major)</t>
  </si>
  <si>
    <t xml:space="preserve">Open major gaps</t>
  </si>
  <si>
    <t xml:space="preserve">Results by requirement source</t>
  </si>
  <si>
    <t xml:space="preserve">Source</t>
  </si>
  <si>
    <t xml:space="preserve">ISO 9001 base</t>
  </si>
  <si>
    <t xml:space="preserve">AS9100D addition</t>
  </si>
  <si>
    <t xml:space="preserve">Mixed</t>
  </si>
  <si>
    <t xml:space="preserve">Note</t>
  </si>
  <si>
    <t xml:space="preserve">Conformity % = Conforming ÷ (Items − Not applicable − Not assessed). Items with no status yet are excluded until assessed, so read Assessed % first. A low result in the AS9100D addition rows with a good ISO 9001 base result points to aerospace-specific controls (risk, configuration, product safety, counterfeit parts, special processes, first article inspection) as the first place to act. Indicative readiness measure only; not a certification outcome.</t>
  </si>
  <si>
    <t xml:space="preserve">Title</t>
  </si>
  <si>
    <t xml:space="preserve">Requirement (paraphrased)</t>
  </si>
  <si>
    <t xml:space="preserve">Audit question</t>
  </si>
  <si>
    <t xml:space="preserve">Objective evidence to request</t>
  </si>
  <si>
    <t xml:space="preserve">Common findings</t>
  </si>
  <si>
    <t xml:space="preserve">Follow-up questions</t>
  </si>
  <si>
    <t xml:space="preserve">Main clause</t>
  </si>
  <si>
    <t xml:space="preserve">4.1</t>
  </si>
  <si>
    <t xml:space="preserve">Context of the organization</t>
  </si>
  <si>
    <t xml:space="preserve">Identify the external and internal issues relevant to purpose and strategic direction that affect the QMS results, and keep monitoring them.</t>
  </si>
  <si>
    <t xml:space="preserve">How does the organization identify and review the issues that affect its ability to deliver conforming, safe and on-time product to aerospace and defense customers?</t>
  </si>
  <si>
    <t xml:space="preserve">Context analysis (SWOT, PESTLE or similar), business plan, customer and market intelligence, management review inputs.</t>
  </si>
  <si>
    <t xml:space="preserve">Analysis prepared once for certification and never updated; ignores supply-chain, workforce, obsolescence or export-control issues that clearly affect delivery.</t>
  </si>
  <si>
    <t xml:space="preserve">Which issue changed in the last year, and what did the organization change in the QMS because of it?</t>
  </si>
  <si>
    <t xml:space="preserve">4.2</t>
  </si>
  <si>
    <t xml:space="preserve">Interested parties and their requirements</t>
  </si>
  <si>
    <t xml:space="preserve">Determine the interested parties relevant to the QMS and their relevant requirements, and monitor that information.</t>
  </si>
  <si>
    <t xml:space="preserve">Which interested parties (customers, regulators, certification body, primes, sub-tier providers) are relevant, and which of their requirements become QMS requirements?</t>
  </si>
  <si>
    <t xml:space="preserve">Interested-party register with requirements, customer quality clauses and contract flow-downs, regulatory and authority requirements list.</t>
  </si>
  <si>
    <t xml:space="preserve">Register names parties but not their requirements; customer-specific quality clauses sit with sales and are unknown to production; regulator or certification body missing.</t>
  </si>
  <si>
    <t xml:space="preserve">How does a new customer quality clause reach the process owner who has to implement it?</t>
  </si>
  <si>
    <t xml:space="preserve">4.3</t>
  </si>
  <si>
    <t xml:space="preserve">Scope of the QMS</t>
  </si>
  <si>
    <t xml:space="preserve">Define the boundaries and applicability of the QMS and keep the scope documented, with a justification for every requirement judged not applicable. Conformity can be claimed only if the exclusions do not affect product conformity or customer satisfaction.</t>
  </si>
  <si>
    <t xml:space="preserve">What is the QMS scope, and is any requirement declared not applicable (for example design, post-delivery activities, special processes)? Is each justification valid?</t>
  </si>
  <si>
    <t xml:space="preserve">Scope statement, site and product list, justification for each non-applicable requirement, contracts and drawings showing who holds design responsibility.</t>
  </si>
  <si>
    <t xml:space="preserve">Design excluded although the organization changes or approves drawings or process specifications; post-delivery excluded although it handles returns or repairs; a site or outsourced special process is missing from the scope.</t>
  </si>
  <si>
    <t xml:space="preserve">Who holds design authority for the parts in the scope, and where is that written down?</t>
  </si>
  <si>
    <t xml:space="preserve">4.4.1</t>
  </si>
  <si>
    <t xml:space="preserve">QMS and its processes (incl. customer and regulatory QMS requirements)</t>
  </si>
  <si>
    <t xml:space="preserve">Establish, implement, maintain and improve the QMS and its processes, with inputs, outputs, sequence, interaction, criteria, resources, owners and risks. The QMS must also address customer and applicable statutory and regulatory QMS requirements.</t>
  </si>
  <si>
    <t xml:space="preserve">Can you show the process map, the owner and measures of each process, and where customer and regulatory QMS requirements are built in?</t>
  </si>
  <si>
    <t xml:space="preserve">Process map or turtle diagrams, process owners, KPIs with targets and trends, matrix linking customer and regulatory requirements to processes.</t>
  </si>
  <si>
    <t xml:space="preserve">Processes drawn but no measurable output or named owner; customer requirements not mapped to any process; interfaces such as engineering to production left undefined.</t>
  </si>
  <si>
    <t xml:space="preserve">Pick a KPI that missed target. What did the process owner do, and when?</t>
  </si>
  <si>
    <t xml:space="preserve">9101</t>
  </si>
  <si>
    <t xml:space="preserve">4.4.2</t>
  </si>
  <si>
    <t xml:space="preserve">Documented information on QMS processes</t>
  </si>
  <si>
    <t xml:space="preserve">Maintain documented information to support the processes and retain records showing they run as planned. The documented description must cover relevant interested parties, scope, processes, their sequence and interaction, and responsibilities.</t>
  </si>
  <si>
    <t xml:space="preserve">Where is the documented description of the QMS (quality manual or equivalent), and does it match how the organization actually works?</t>
  </si>
  <si>
    <t xml:space="preserve">Quality manual or equivalent, process descriptions, records showing recent execution of each process.</t>
  </si>
  <si>
    <t xml:space="preserve">Manual copied from the standard; process descriptions out of date; record retention differs from site to site.</t>
  </si>
  <si>
    <t xml:space="preserve">Walk one process from its description to the record of its last execution.</t>
  </si>
  <si>
    <t xml:space="preserve">5.1.1</t>
  </si>
  <si>
    <t xml:space="preserve">Leadership and commitment</t>
  </si>
  <si>
    <t xml:space="preserve">Top management takes accountability for QMS effectiveness, aligns policy and objectives with direction, integrates the QMS into the business, promotes process approach and risk-based thinking, provides resources and supports other managers.</t>
  </si>
  <si>
    <t xml:space="preserve">How does top management show that it owns the QMS beyond signing the policy?</t>
  </si>
  <si>
    <t xml:space="preserve">Management review minutes, resourcing decisions, objectives reviews, staff communications, interview with top management.</t>
  </si>
  <si>
    <t xml:space="preserve">Quality delegated entirely to the quality manager; top management cannot describe objectives or delivery and quality performance; requests for calibration, training or inspection resources stalled.</t>
  </si>
  <si>
    <t xml:space="preserve">Which decision in the last 12 months was driven by QMS data?</t>
  </si>
  <si>
    <t xml:space="preserve">5.1.2</t>
  </si>
  <si>
    <t xml:space="preserve">Customer focus (conformity and on-time delivery)</t>
  </si>
  <si>
    <t xml:space="preserve">Ensure customer, statutory and regulatory requirements are determined and met, risks to conformity and satisfaction are addressed, and product conformity and on-time delivery are measured with action taken when results are or will be missed.</t>
  </si>
  <si>
    <t xml:space="preserve">How does top management see conformity and on-time delivery performance, and what happens when a delivery is forecast to be late?</t>
  </si>
  <si>
    <t xml:space="preserve">On-time delivery and quality dashboards, customer scorecards, recovery plans, management review records.</t>
  </si>
  <si>
    <t xml:space="preserve">On-time delivery measured against internal dates, not customer-confirmed dates; no action triggered by a forecast miss; customer scorecards never reviewed by management.</t>
  </si>
  <si>
    <t xml:space="preserve">Show a late delivery from last quarter, its recovery plan and what changed afterwards.</t>
  </si>
  <si>
    <t xml:space="preserve">5.2.1-5.2.2</t>
  </si>
  <si>
    <t xml:space="preserve">Quality policy</t>
  </si>
  <si>
    <t xml:space="preserve">Establish, maintain, communicate and make available a quality policy that fits purpose and context, commits to satisfy requirements and to continual improvement, and provides a framework for objectives.</t>
  </si>
  <si>
    <t xml:space="preserve">Is the policy appropriate, communicated, understood and available to interested parties?</t>
  </si>
  <si>
    <t xml:space="preserve">Current signed policy, display locations, induction material, staff interview answers.</t>
  </si>
  <si>
    <t xml:space="preserve">Policy generic or outdated; staff cannot say what it means for their job; no link to objectives.</t>
  </si>
  <si>
    <t xml:space="preserve">Ask three employees from different areas what the policy means for their work.</t>
  </si>
  <si>
    <t xml:space="preserve">5.3 a</t>
  </si>
  <si>
    <t xml:space="preserve">Roles, responsibilities and authorities</t>
  </si>
  <si>
    <t xml:space="preserve">Assign, communicate and make understood the responsibilities and authorities for QMS roles, including conformity of the QMS, process outputs, performance reporting, customer focus and QMS integrity during change.</t>
  </si>
  <si>
    <t xml:space="preserve">How are QMS responsibilities and authorities assigned and communicated?</t>
  </si>
  <si>
    <t xml:space="preserve">Organization chart, job descriptions, authority matrix, appointment letters, evidence of communication.</t>
  </si>
  <si>
    <t xml:space="preserve">Organization chart outdated; nobody clearly authorized to stop nonconforming work or report QMS performance; authorities differ between documents.</t>
  </si>
  <si>
    <t xml:space="preserve">Who can stop a shipment, and where is that authority written?</t>
  </si>
  <si>
    <t xml:space="preserve">5.3 b</t>
  </si>
  <si>
    <t xml:space="preserve">Management representative</t>
  </si>
  <si>
    <t xml:space="preserve">Top management must appoint a specific member of management as management representative, with responsibility and authority to oversee the 5.3 responsibilities and free, unrestricted access to top management.</t>
  </si>
  <si>
    <t xml:space="preserve">Who is the management representative, how were they appointed, and can they reach top management without restriction?</t>
  </si>
  <si>
    <t xml:space="preserve">Appointment letter, organization chart, job description, evidence of direct access to top management.</t>
  </si>
  <si>
    <t xml:space="preserve">Role assigned in name only, or held by someone with no authority over production or purchasing; role vacant after a reorganization.</t>
  </si>
  <si>
    <t xml:space="preserve">Show an issue the representative escalated to top management and the outcome.</t>
  </si>
  <si>
    <t xml:space="preserve">6.1.1</t>
  </si>
  <si>
    <t xml:space="preserve">Risks and opportunities: determination</t>
  </si>
  <si>
    <t xml:space="preserve">When planning the QMS, consider context and interested parties and determine the risks and opportunities that must be addressed to give assurance of results, enhance desirable effects, prevent undesired effects and improve.</t>
  </si>
  <si>
    <t xml:space="preserve">How were QMS-level risks and opportunities determined, and how do they link to the operational risk process in 8.1.1?</t>
  </si>
  <si>
    <t xml:space="preserve">Risk and opportunity register, strategic plan, management review inputs, link to the operational risk process.</t>
  </si>
  <si>
    <t xml:space="preserve">One list made for the audit and never reviewed; QMS risks and operational risks managed in unrelated systems; opportunities ignored.</t>
  </si>
  <si>
    <t xml:space="preserve">Show a risk that materialized in the last year. Was it on the register beforehand?</t>
  </si>
  <si>
    <t xml:space="preserve">6.1.2</t>
  </si>
  <si>
    <t xml:space="preserve">Risks and opportunities: actions and effectiveness</t>
  </si>
  <si>
    <t xml:space="preserve">Plan actions to address the risks and opportunities, integrate them into QMS processes, and evaluate effectiveness. Actions must be proportionate to the potential impact on conformity of products and services.</t>
  </si>
  <si>
    <t xml:space="preserve">How are the resulting actions tracked, and how is their effectiveness judged?</t>
  </si>
  <si>
    <t xml:space="preserve">Action plans with owners and dates, effectiveness reviews, evidence of integration into process documents.</t>
  </si>
  <si>
    <t xml:space="preserve">Actions without owners or dates; effectiveness never checked; actions out of proportion to the impact on product conformity.</t>
  </si>
  <si>
    <t xml:space="preserve">Choose one closed action and show the evidence that it worked.</t>
  </si>
  <si>
    <t xml:space="preserve">6.2.1</t>
  </si>
  <si>
    <t xml:space="preserve">Quality objectives</t>
  </si>
  <si>
    <t xml:space="preserve">Set measurable quality objectives at relevant functions, levels and processes that are consistent with the policy, relevant to product conformity and customer satisfaction, monitored, communicated and updated.</t>
  </si>
  <si>
    <t xml:space="preserve">What are the quality objectives, who owns each, and how are they monitored?</t>
  </si>
  <si>
    <t xml:space="preserve">Objectives with targets, owners and measurement methods, monitoring records, communication evidence.</t>
  </si>
  <si>
    <t xml:space="preserve">Objectives not measurable or not tracked; the same objectives copied year after year; owners unaware of them.</t>
  </si>
  <si>
    <t xml:space="preserve">What happened the last time an objective was missed?</t>
  </si>
  <si>
    <t xml:space="preserve">6.2.2</t>
  </si>
  <si>
    <t xml:space="preserve">Planning to achieve objectives</t>
  </si>
  <si>
    <t xml:space="preserve">For each objective, determine what will be done, the resources, who is responsible, when it will be finished and how results will be evaluated.</t>
  </si>
  <si>
    <t xml:space="preserve">Where is the plan to achieve each objective, and how is progress reviewed?</t>
  </si>
  <si>
    <t xml:space="preserve">Objective action plans, resource allocations, progress reviews, management review records.</t>
  </si>
  <si>
    <t xml:space="preserve">Objectives set but no plan, owner or date behind them; progress reviewed only at management review.</t>
  </si>
  <si>
    <t xml:space="preserve">Show a plan from last year and its evaluated result.</t>
  </si>
  <si>
    <t xml:space="preserve">6.3</t>
  </si>
  <si>
    <t xml:space="preserve">Planning of changes</t>
  </si>
  <si>
    <t xml:space="preserve">Carry out QMS changes in a planned way, considering purpose and consequences, QMS integrity, resource availability and the allocation of responsibilities.</t>
  </si>
  <si>
    <t xml:space="preserve">How are QMS changes (new process, site, system, organization) planned and controlled?</t>
  </si>
  <si>
    <t xml:space="preserve">Change records, impact assessments, communication records, post-change reviews.</t>
  </si>
  <si>
    <t xml:space="preserve">Changes made informally; no assessment of impact on QMS integrity or on aerospace-specific controls such as traceability and configuration.</t>
  </si>
  <si>
    <t xml:space="preserve">Show the last significant change and how its impact was evaluated.</t>
  </si>
  <si>
    <t xml:space="preserve">7.1.1</t>
  </si>
  <si>
    <t xml:space="preserve">Resources: general</t>
  </si>
  <si>
    <t xml:space="preserve">Determine and provide the resources needed for the QMS, considering what internal resources can and cannot do and what must come from external providers.</t>
  </si>
  <si>
    <t xml:space="preserve">How does the organization decide what resources it needs and what must be sourced externally?</t>
  </si>
  <si>
    <t xml:space="preserve">Resource plans, budgets, capacity studies, management review resource decisions.</t>
  </si>
  <si>
    <t xml:space="preserve">Resource needs raised repeatedly with no decision recorded; capacity not compared with the order book.</t>
  </si>
  <si>
    <t xml:space="preserve">Show a resource request from the last year and what happened to it.</t>
  </si>
  <si>
    <t xml:space="preserve">7.1.2</t>
  </si>
  <si>
    <t xml:space="preserve">People</t>
  </si>
  <si>
    <t xml:space="preserve">Determine and provide the people needed to operate the QMS and control its processes.</t>
  </si>
  <si>
    <t xml:space="preserve">Does staffing match the workload in production, inspection, quality and purchasing?</t>
  </si>
  <si>
    <t xml:space="preserve">Headcount versus workload, overtime records, vacancy list, backlog of inspection or quality tasks.</t>
  </si>
  <si>
    <t xml:space="preserve">Single inspector for several shifts; chronic overtime in inspection; quality tasks skipped when the schedule is tight.</t>
  </si>
  <si>
    <t xml:space="preserve">Which role is the bottleneck when a delivery is at risk?</t>
  </si>
  <si>
    <t xml:space="preserve">7.1.3</t>
  </si>
  <si>
    <t xml:space="preserve">Infrastructure</t>
  </si>
  <si>
    <t xml:space="preserve">Determine, provide and maintain the infrastructure needed for the processes and for product conformity, including buildings, equipment, hardware and software, transport and communication technology.</t>
  </si>
  <si>
    <t xml:space="preserve">How are equipment, tooling and IT systems kept fit for purpose?</t>
  </si>
  <si>
    <t xml:space="preserve">Maintenance plans and records, equipment capability records, IT system controls, breakdown history.</t>
  </si>
  <si>
    <t xml:space="preserve">Preventive maintenance overdue; critical equipment without a maintenance plan; software used in production not controlled.</t>
  </si>
  <si>
    <t xml:space="preserve">Show the maintenance backlog and how it is prioritized.</t>
  </si>
  <si>
    <t xml:space="preserve">7.1.4</t>
  </si>
  <si>
    <t xml:space="preserve">Environment for the operation of processes</t>
  </si>
  <si>
    <t xml:space="preserve">Determine, provide and maintain the environment needed for the processes and product conformity, including social, psychological and physical factors.</t>
  </si>
  <si>
    <t xml:space="preserve">Which environmental conditions affect product or process results, and how are they monitored?</t>
  </si>
  <si>
    <t xml:space="preserve">Temperature, humidity and cleanliness records, work-area controls, ESD or clean-area controls where relevant, ergonomics and fatigue arrangements.</t>
  </si>
  <si>
    <t xml:space="preserve">Conditions affecting inspection, adhesives, composites or calibration not monitored; no controls for fatigue or stress in critical operations.</t>
  </si>
  <si>
    <t xml:space="preserve">Where does environment most affect product results here, and how do you know it stays in range?</t>
  </si>
  <si>
    <t xml:space="preserve">7.1.5.1</t>
  </si>
  <si>
    <t xml:space="preserve">Monitoring and measuring resources: general</t>
  </si>
  <si>
    <t xml:space="preserve">Provide the resources needed for valid and reliable monitoring and measurement results, suitable for the activity and maintained for fitness, and retain evidence of fitness for purpose.</t>
  </si>
  <si>
    <t xml:space="preserve">How does the organization know its inspection and test equipment is suitable for the characteristics being measured?</t>
  </si>
  <si>
    <t xml:space="preserve">Equipment selection rationale, measurement capability studies, maintenance records, fitness-for-purpose evidence.</t>
  </si>
  <si>
    <t xml:space="preserve">Equipment chosen with no check that its resolution suits the tolerance; software used for measurement not validated.</t>
  </si>
  <si>
    <t xml:space="preserve">Take a tight-tolerance characteristic and show why the chosen gauge is suitable.</t>
  </si>
  <si>
    <t xml:space="preserve">7.1.5.2 a-c</t>
  </si>
  <si>
    <t xml:space="preserve">Measurement traceability: calibration, status and safeguarding</t>
  </si>
  <si>
    <t xml:space="preserve">Where traceability is required or essential, calibrate or verify equipment at set intervals or before use against standards traceable to national or international standards, identify its status and protect it from changes that would invalidate calibration.</t>
  </si>
  <si>
    <t xml:space="preserve">How is calibration status controlled and how is the equipment protected from damage and unauthorized adjustment?</t>
  </si>
  <si>
    <t xml:space="preserve">Calibration certificates showing traceability, status labels, adjustment seals, storage and handling arrangements.</t>
  </si>
  <si>
    <t xml:space="preserve">Overdue calibration; certificates without traceability; status labels missing; adjustable gauges not sealed.</t>
  </si>
  <si>
    <t xml:space="preserve">Pick five gauges at random and trace each to its current certificate.</t>
  </si>
  <si>
    <t xml:space="preserve">7.1.5.2 register</t>
  </si>
  <si>
    <t xml:space="preserve">Equipment register and recall process</t>
  </si>
  <si>
    <t xml:space="preserve">Maintain a register of monitoring and measuring equipment (type, unique ID, location, calibration method, frequency, acceptance criteria) and a process to recall equipment due for calibration. Scope includes test hardware and software, automated test equipment, personally owned and customer-supplied equipment used as conformity evidence.</t>
  </si>
  <si>
    <t xml:space="preserve">Does the register hold all required fields and cover every item used for acceptance, including personal and customer-supplied equipment?</t>
  </si>
  <si>
    <t xml:space="preserve">Equipment register, recall schedule and overdue report, list of personal tools used for inspection, customer-supplied equipment list.</t>
  </si>
  <si>
    <t xml:space="preserve">Register missing acceptance criteria or location; test software and automated test equipment not listed; personal tools used for inspection with no control; no recall process.</t>
  </si>
  <si>
    <t xml:space="preserve">Walk from the shop floor to the register and back with three items.</t>
  </si>
  <si>
    <t xml:space="preserve">7.1.5.2 validity</t>
  </si>
  <si>
    <t xml:space="preserve">Out-of-tolerance impact and calibration conditions</t>
  </si>
  <si>
    <t xml:space="preserve">Carry out calibration under suitable environmental conditions, and assess the validity of earlier results when equipment is found unfit, taking appropriate action.</t>
  </si>
  <si>
    <t xml:space="preserve">What happens when equipment is found out of tolerance at calibration?</t>
  </si>
  <si>
    <t xml:space="preserve">Out-of-tolerance reports, impact assessments on product measured since last calibration, calibration environment records.</t>
  </si>
  <si>
    <t xml:space="preserve">Out-of-tolerance finds closed without checking product already accepted; no customer notification when delivered product may be affected.</t>
  </si>
  <si>
    <t xml:space="preserve">Show the last out-of-tolerance find and the product that was reviewed.</t>
  </si>
  <si>
    <t xml:space="preserve">7.1.6</t>
  </si>
  <si>
    <t xml:space="preserve">Organizational knowledge</t>
  </si>
  <si>
    <t xml:space="preserve">Determine the knowledge needed for processes and product conformity, maintain it and make it available, and consider how to acquire further knowledge when needs change.</t>
  </si>
  <si>
    <t xml:space="preserve">How does the organization capture and keep critical knowledge and lessons learned?</t>
  </si>
  <si>
    <t xml:space="preserve">Lessons-learned records, knowledge repositories, succession and cross-training plans.</t>
  </si>
  <si>
    <t xml:space="preserve">Critical process knowledge held by two or three individuals; lessons learned from nonconformities never captured.</t>
  </si>
  <si>
    <t xml:space="preserve">What would be lost if the most experienced person left tomorrow?</t>
  </si>
  <si>
    <t xml:space="preserve">7.2</t>
  </si>
  <si>
    <t xml:space="preserve">Competence</t>
  </si>
  <si>
    <t xml:space="preserve">Determine needed competence, ensure people are competent through education, training or experience, act to close gaps and evaluate the actions, and retain evidence of competence.</t>
  </si>
  <si>
    <t xml:space="preserve">How is competence determined, closed and proven for roles that affect product conformity, for example inspectors, special process operators and auditors?</t>
  </si>
  <si>
    <t xml:space="preserve">Competence matrix, training records with effectiveness checks, qualification and certification records, authorization lists.</t>
  </si>
  <si>
    <t xml:space="preserve">Training records show attendance but no effectiveness check; qualifications expired; people working outside their authorization.</t>
  </si>
  <si>
    <t xml:space="preserve">Select three operators on critical operations and trace their qualification evidence.</t>
  </si>
  <si>
    <t xml:space="preserve">7.3</t>
  </si>
  <si>
    <t xml:space="preserve">Awareness (incl. product safety and ethical behavior)</t>
  </si>
  <si>
    <t xml:space="preserve">Persons doing work under the organization's control must be aware of the policy, objectives, their contribution to QMS effectiveness, product conformity and product safety, the effects of nonconformity and the importance of ethical behavior.</t>
  </si>
  <si>
    <t xml:space="preserve">Do people at the point of work understand how their activity affects product safety and why ethical behavior matters?</t>
  </si>
  <si>
    <t xml:space="preserve">Induction and refresher material, product safety and ethics training records, interview answers on the shop floor.</t>
  </si>
  <si>
    <t xml:space="preserve">Awareness training covers policy only; staff cannot explain how their task affects product safety; no ethics or reporting channel.</t>
  </si>
  <si>
    <t xml:space="preserve">Ask an operator what could go wrong with the part in their hands and who they would tell.</t>
  </si>
  <si>
    <t xml:space="preserve">7.4</t>
  </si>
  <si>
    <t xml:space="preserve">Communication</t>
  </si>
  <si>
    <t xml:space="preserve">Determine internal and external communications relevant to the QMS: what, when, with whom, how and who communicates.</t>
  </si>
  <si>
    <t xml:space="preserve">How are quality-relevant matters communicated internally and to customers and external providers?</t>
  </si>
  <si>
    <t xml:space="preserve">Communication plan, meeting records, customer and provider notifications, escalation routes.</t>
  </si>
  <si>
    <t xml:space="preserve">Informal communication only; changes to requirements reach production late; no defined route to notify customers.</t>
  </si>
  <si>
    <t xml:space="preserve">Trace one customer change to the people who needed to know.</t>
  </si>
  <si>
    <t xml:space="preserve">7.5.1-7.5.2</t>
  </si>
  <si>
    <t xml:space="preserve">Documented information: general, creating and updating</t>
  </si>
  <si>
    <t xml:space="preserve">Keep the documented information the standard requires and what the organization needs for effectiveness. When creating or updating, ensure identification, suitable format and media, and review and approval.</t>
  </si>
  <si>
    <t xml:space="preserve">How are documents identified, reviewed and approved before use?</t>
  </si>
  <si>
    <t xml:space="preserve">Document register, approval records, templates, version history.</t>
  </si>
  <si>
    <t xml:space="preserve">Unapproved documents in use; approvers not defined; inconsistent identification.</t>
  </si>
  <si>
    <t xml:space="preserve">Take a work instruction on the shop floor and show its approval.</t>
  </si>
  <si>
    <t xml:space="preserve">7.5.3.1</t>
  </si>
  <si>
    <t xml:space="preserve">Control of documented information: availability and protection</t>
  </si>
  <si>
    <t xml:space="preserve">Control documented information so that it is available and suitable where and when needed and is protected from loss of confidentiality, improper use or loss of integrity.</t>
  </si>
  <si>
    <t xml:space="preserve">Is the current version available at the point of use, and how is confidential information protected?</t>
  </si>
  <si>
    <t xml:space="preserve">Access rules, document distribution lists, point-of-use checks, information security controls.</t>
  </si>
  <si>
    <t xml:space="preserve">Uncontrolled copies at workstations; shared drives open to everyone; customer proprietary data unprotected.</t>
  </si>
  <si>
    <t xml:space="preserve">Compare three documents on the floor against the master list.</t>
  </si>
  <si>
    <t xml:space="preserve">7.5.3.2</t>
  </si>
  <si>
    <t xml:space="preserve">Control of documented information: activities (incl. electronic data)</t>
  </si>
  <si>
    <t xml:space="preserve">Address distribution, storage, version control, retention, disposition and obsolete documents. Control documents of external origin, protect conformity records from unintended alteration, and define data protection processes for electronic information.</t>
  </si>
  <si>
    <t xml:space="preserve">How are external documents (customer specifications, standards, drawings) kept current, and how are electronic records protected from alteration?</t>
  </si>
  <si>
    <t xml:space="preserve">Master list of external documents with revision status, backup and access arrangements, audit trails, retention schedule.</t>
  </si>
  <si>
    <t xml:space="preserve">Customer specifications out of date; records editable by anyone; no backup test; obsolete drawings kept without identification.</t>
  </si>
  <si>
    <t xml:space="preserve">Show how you learned of the last revision of a customer specification and who was told.</t>
  </si>
  <si>
    <t xml:space="preserve">8.1 a</t>
  </si>
  <si>
    <t xml:space="preserve">Determining product and service requirements (planning inputs)</t>
  </si>
  <si>
    <t xml:space="preserve">Plan and control the processes needed to meet requirements, starting by determining product and service requirements. Planning should consider personal and product safety, producibility and inspectability, reliability and maintainability, suitability of materials, embedded software, obsolescence, foreign object control, handling and preservation, and end-of-life.</t>
  </si>
  <si>
    <t xml:space="preserve">How does planning for a new part or contract capture requirements beyond the drawing, such as inspectability, obsolescence and foreign object risk?</t>
  </si>
  <si>
    <t xml:space="preserve">Contract and order review records, manufacturing plans, planning checklists, risk inputs, producibility reviews.</t>
  </si>
  <si>
    <t xml:space="preserve">Planning checklist covers delivery and cost only; foreign object and obsolescence risks never considered at planning; inspectability found lacking on the first article.</t>
  </si>
  <si>
    <t xml:space="preserve">Take the newest part number and show where each planning consideration was assessed.</t>
  </si>
  <si>
    <t xml:space="preserve">8.1 b-e</t>
  </si>
  <si>
    <t xml:space="preserve">Process and acceptance criteria, resources, control and records</t>
  </si>
  <si>
    <t xml:space="preserve">Set criteria for processes and for acceptance, determine resources needed for conformity and for on-time delivery, apply control in line with the criteria, and keep documented information to show processes ran as planned and product conforms.</t>
  </si>
  <si>
    <t xml:space="preserve">How are process and acceptance criteria defined, and are resources planned against delivery dates?</t>
  </si>
  <si>
    <t xml:space="preserve">Process control plans, acceptance criteria, capacity and resource plans, statistical technique usage, records of process execution.</t>
  </si>
  <si>
    <t xml:space="preserve">Acceptance criteria not defined for new operations; capacity planning ignores inspection and special process lead times; statistical techniques used without recognized basis.</t>
  </si>
  <si>
    <t xml:space="preserve">For one process, show the criteria, the resources and the last record that it ran as planned.</t>
  </si>
  <si>
    <t xml:space="preserve">8.1 f</t>
  </si>
  <si>
    <t xml:space="preserve">Critical items and key characteristics</t>
  </si>
  <si>
    <t xml:space="preserve">Determine the processes and controls needed to manage critical items, including production controls where key characteristics are identified.</t>
  </si>
  <si>
    <t xml:space="preserve">Which items are designated critical or key characteristics for this product, and how are they controlled through production?</t>
  </si>
  <si>
    <t xml:space="preserve">Critical item and key characteristic lists, control plans, capability data, customer designations, work instructions flagging them.</t>
  </si>
  <si>
    <t xml:space="preserve">Key characteristics identified on drawings but not carried into travelers or inspection plans; no variation control or capability data; operators unaware of which features are critical.</t>
  </si>
  <si>
    <t xml:space="preserve">Pick a key characteristic and show its control from drawing to shipping record.</t>
  </si>
  <si>
    <t xml:space="preserve">9103</t>
  </si>
  <si>
    <t xml:space="preserve">8.1 g-j</t>
  </si>
  <si>
    <t xml:space="preserve">Cross-functional planning, support, external providers, preventing delivery of nonconformity</t>
  </si>
  <si>
    <t xml:space="preserve">Engage affected functions in planning, determine support and maintenance of products and services, determine what is sourced externally, and put in place the controls needed to prevent delivery of nonconforming product or service.</t>
  </si>
  <si>
    <t xml:space="preserve">Who takes part in operational planning, and what stops a nonconforming product from reaching the customer?</t>
  </si>
  <si>
    <t xml:space="preserve">Planning meeting records with function sign-off, post-delivery support plans, outsourcing decisions, release gates and hold controls.</t>
  </si>
  <si>
    <t xml:space="preserve">Planning done by one department; release gates bypassed under schedule pressure; no documented controls beyond final inspection.</t>
  </si>
  <si>
    <t xml:space="preserve">Show a case where a release gate stopped a shipment.</t>
  </si>
  <si>
    <t xml:space="preserve">8.1 project</t>
  </si>
  <si>
    <t xml:space="preserve">Project, program or contract planning</t>
  </si>
  <si>
    <t xml:space="preserve">Where appropriate, plan and manage product and service provision in a structured, controlled way, with scheduled events in a planned sequence that meets requirements at acceptable risk within resource and schedule constraints. Planning output must suit the organization's operations.</t>
  </si>
  <si>
    <t xml:space="preserve">How are larger contracts and programs planned and tracked, and is there a quality plan for them?</t>
  </si>
  <si>
    <t xml:space="preserve">Project or program plans, quality plans, milestone and risk reviews, customer reporting.</t>
  </si>
  <si>
    <t xml:space="preserve">Large orders run on the master schedule with no program plan; risks not reviewed after kickoff; quality plan missing although customer asked for one.</t>
  </si>
  <si>
    <t xml:space="preserve">Show the plan for the most complex current contract and its last milestone review.</t>
  </si>
  <si>
    <t xml:space="preserve">8.1 changes</t>
  </si>
  <si>
    <t xml:space="preserve">Planned and unintended changes, outsourced processes</t>
  </si>
  <si>
    <t xml:space="preserve">Control planned changes, review the consequences of unintended changes and act to reduce harm, and make sure outsourced processes stay under QMS control.</t>
  </si>
  <si>
    <t xml:space="preserve">How are unplanned changes (equipment failure, staff change, material substitution) detected and assessed?</t>
  </si>
  <si>
    <t xml:space="preserve">Change records, deviation records, impact reviews, outsourced process control records.</t>
  </si>
  <si>
    <t xml:space="preserve">Unplanned changes absorbed without assessment; outsourced processes controlled only by purchase order.</t>
  </si>
  <si>
    <t xml:space="preserve">Show a change nobody planned and how its effect on product was assessed.</t>
  </si>
  <si>
    <t xml:space="preserve">8.1 transfer</t>
  </si>
  <si>
    <t xml:space="preserve">Work transfer</t>
  </si>
  <si>
    <t xml:space="preserve">Establish a process to plan and control temporary or permanent transfer of work, ensuring continued conformity and managing the impacts and risks of the transfer.</t>
  </si>
  <si>
    <t xml:space="preserve">Has any work moved between sites, to a new external provider or back in-house, and how was the transfer controlled?</t>
  </si>
  <si>
    <t xml:space="preserve">Transfer plans, risk assessments, first article or revalidation records, customer approvals, training records at the receiving site.</t>
  </si>
  <si>
    <t xml:space="preserve">Work moved to a new provider with no risk assessment or first article; customer not told; knowledge not transferred.</t>
  </si>
  <si>
    <t xml:space="preserve">Show the last transfer, its risk assessment and how conformity was confirmed afterwards.</t>
  </si>
  <si>
    <t xml:space="preserve">8.1.1</t>
  </si>
  <si>
    <t xml:space="preserve">Operational risk management</t>
  </si>
  <si>
    <t xml:space="preserve">Plan, implement and control a process to manage risks to meeting applicable requirements in operations: assign responsibility, define assessment criteria, identify, assess and communicate risks, act on risks above the acceptance limit, and formally accept residual risk.</t>
  </si>
  <si>
    <t xml:space="preserve">What is the operational risk process, which criteria does it use, and who accepts residual risk?</t>
  </si>
  <si>
    <t xml:space="preserve">Risk management procedure, criteria (likelihood, severity, acceptance), risk registers by program or process, FMEA or equivalent, records of risk acceptance.</t>
  </si>
  <si>
    <t xml:space="preserve">Process exists on paper but no registers in use; criteria undefined; residual risk accepted by nobody; risks not updated after nonconformities.</t>
  </si>
  <si>
    <t xml:space="preserve">Pick a high-risk requirement and show its risk, mitigation and acceptance record.</t>
  </si>
  <si>
    <t xml:space="preserve">8.1.2</t>
  </si>
  <si>
    <t xml:space="preserve">Configuration management</t>
  </si>
  <si>
    <t xml:space="preserve">Plan, implement and control a configuration management process that controls physical and functional attributes through the product life cycle: product identity and traceability to requirements including approved changes, and consistency between documentation and the actual product.</t>
  </si>
  <si>
    <t xml:space="preserve">How does the organization make sure the product built matches the approved configuration, and how are changes controlled?</t>
  </si>
  <si>
    <t xml:space="preserve">Configuration management plan, baselines and revision control, change records, as-built records, configuration audits.</t>
  </si>
  <si>
    <t xml:space="preserve">Drawings and work instructions at different revisions; changes implemented without updating all documents; no check that as-built matches approved design.</t>
  </si>
  <si>
    <t xml:space="preserve">Take a delivered serial number and show its as-built configuration against the baseline.</t>
  </si>
  <si>
    <t xml:space="preserve">8.1.3</t>
  </si>
  <si>
    <t xml:space="preserve">Product safety</t>
  </si>
  <si>
    <t xml:space="preserve">Plan, implement and control the processes needed to ensure product safety across the whole product life cycle, as appropriate to the organization and the product, for example hazard assessment, management of safety critical items, event analysis and reporting, and training.</t>
  </si>
  <si>
    <t xml:space="preserve">How does the organization control product safety, and what happens when an event could affect safety?</t>
  </si>
  <si>
    <t xml:space="preserve">Product safety procedure, hazard assessments, safety critical item list, event reports, safety training records.</t>
  </si>
  <si>
    <t xml:space="preserve">Product safety treated as general quality; no safety critical item list; events affecting safety not escalated or reported to customers.</t>
  </si>
  <si>
    <t xml:space="preserve">Show a recent event with possible safety impact and how it was handled and communicated.</t>
  </si>
  <si>
    <t xml:space="preserve">8.1.4</t>
  </si>
  <si>
    <t xml:space="preserve">Prevention of counterfeit parts</t>
  </si>
  <si>
    <t xml:space="preserve">Plan, implement and control processes appropriate to the organization and product to prevent use of counterfeit or suspect counterfeit parts and their inclusion in delivered product. Typical elements: awareness training, obsolescence monitoring, approved sources, traceability to the original manufacturer, detection tests, monitoring of alerts, quarantine and reporting.</t>
  </si>
  <si>
    <t xml:space="preserve">How does the organization prevent counterfeit parts from entering the product, and what happens when one is suspected?</t>
  </si>
  <si>
    <t xml:space="preserve">Counterfeit prevention procedure, approved source lists, purchasing controls, training records, test or inspection methods, alert monitoring, quarantine records.</t>
  </si>
  <si>
    <t xml:space="preserve">Procedure exists but buyers untrained; purchases from brokers with no extra verification; suspect part handling not defined; no alert monitoring.</t>
  </si>
  <si>
    <t xml:space="preserve">Show how the last purchase from a non-franchised source was assessed and verified.</t>
  </si>
  <si>
    <t xml:space="preserve">8.2.1</t>
  </si>
  <si>
    <t xml:space="preserve">Customer communication</t>
  </si>
  <si>
    <t xml:space="preserve">Communicate with customers on product information, enquiries, contracts and orders (including changes), feedback and complaints, customer property, and establish specific contingency requirements where relevant.</t>
  </si>
  <si>
    <t xml:space="preserve">How does the organization communicate with customers, and is there a defined contingency approach where the customer requires one?</t>
  </si>
  <si>
    <t xml:space="preserve">Customer communication records, order change notices, complaint records, contingency plans, customer property records.</t>
  </si>
  <si>
    <t xml:space="preserve">No contingency arrangements even where customer requires them; order changes accepted by phone without record; complaints tracked by sales only.</t>
  </si>
  <si>
    <t xml:space="preserve">Show a customer contingency requirement and the plan that answers it.</t>
  </si>
  <si>
    <t xml:space="preserve">8.2.2</t>
  </si>
  <si>
    <t xml:space="preserve">Determining requirements (special requirements and operational risks)</t>
  </si>
  <si>
    <t xml:space="preserve">Define product and service requirements including statutory and regulatory ones, confirm the organization can meet its claims, determine special requirements, and identify operational risks such as new technology, capacity or short lead time.</t>
  </si>
  <si>
    <t xml:space="preserve">How are special requirements identified at quotation and order stage, and how are they passed on?</t>
  </si>
  <si>
    <t xml:space="preserve">Quotation and order review records, special requirement lists, risk notes, feasibility assessments.</t>
  </si>
  <si>
    <t xml:space="preserve">Special requirements recognized only after production starts; operational risks not recorded at review; regulatory requirements not checked.</t>
  </si>
  <si>
    <t xml:space="preserve">Take a recent order and show the special requirements found and who received them.</t>
  </si>
  <si>
    <t xml:space="preserve">8.2.3</t>
  </si>
  <si>
    <t xml:space="preserve">Review of requirements</t>
  </si>
  <si>
    <t xml:space="preserve">Before committing to supply, review customer requirements, unstated requirements needed for use, the organization's own requirements, regulatory requirements and differences from earlier requirements, and retain the results.</t>
  </si>
  <si>
    <t xml:space="preserve">What is checked before the organization accepts an order or contract, and are differences from the quote resolved?</t>
  </si>
  <si>
    <t xml:space="preserve">Contract review records, sign-offs from affected functions, resolved differences, confirmation of verbal orders.</t>
  </si>
  <si>
    <t xml:space="preserve">Orders accepted automatically with no review; differences between order and quote unresolved; review not coordinated with engineering or production.</t>
  </si>
  <si>
    <t xml:space="preserve">Select two orders and show who reviewed each and what was resolved.</t>
  </si>
  <si>
    <t xml:space="preserve">8.2.4</t>
  </si>
  <si>
    <t xml:space="preserve">Changes to requirements</t>
  </si>
  <si>
    <t xml:space="preserve">When requirements change, amend documented information and make relevant people aware.</t>
  </si>
  <si>
    <t xml:space="preserve">How do changes to customer requirements reach everyone who needs them?</t>
  </si>
  <si>
    <t xml:space="preserve">Change notices, amended orders, distribution evidence, work instruction updates.</t>
  </si>
  <si>
    <t xml:space="preserve">Changes to purchase orders not reflected on travelers; operators working to old requirements.</t>
  </si>
  <si>
    <t xml:space="preserve">Follow one change from the order to the shop floor document.</t>
  </si>
  <si>
    <t xml:space="preserve">8.3.1-8.3.2</t>
  </si>
  <si>
    <t xml:space="preserve">Design and development: process and planning</t>
  </si>
  <si>
    <t xml:space="preserve">Establish a design and development process and plan its stages, reviews, verification and validation, responsibilities, resources, interfaces, customer involvement and records. Where suitable, divide the effort into activities with tasks, resources, responsibilities, content, inputs and outputs, and consider the ability to provide, verify, test and maintain the product. Mark not applicable only if design is outside the scope.</t>
  </si>
  <si>
    <t xml:space="preserve">How is design and development planned, and does planning consider how the product will be produced, verified, tested and maintained?</t>
  </si>
  <si>
    <t xml:space="preserve">Design plans, stage gates, responsibility matrix, interface definitions, review schedules.</t>
  </si>
  <si>
    <t xml:space="preserve">Plans with no stages or review points; verification and test not planned; maintainability ignored; design responsibility unclear between customer and organization.</t>
  </si>
  <si>
    <t xml:space="preserve">Show the plan for the current design project and its last stage-gate review.</t>
  </si>
  <si>
    <t xml:space="preserve">8.3.3</t>
  </si>
  <si>
    <t xml:space="preserve">Design and development inputs</t>
  </si>
  <si>
    <t xml:space="preserve">Determine essential requirements for the design: functional and performance needs, earlier similar designs, regulatory needs, committed standards, consequences of failure, and, where applicable, consequences of obsolescence. Inputs must be adequate, complete, unambiguous and conflict-free, and recorded.</t>
  </si>
  <si>
    <t xml:space="preserve">Are design inputs complete and have conflicts been resolved?</t>
  </si>
  <si>
    <t xml:space="preserve">Requirements specifications, input reviews, resolved conflicts, obsolescence assessments.</t>
  </si>
  <si>
    <t xml:space="preserve">Inputs incomplete or contradictory; consequences of failure not assessed; component obsolescence not considered.</t>
  </si>
  <si>
    <t xml:space="preserve">Show the input review and one conflict that was found and resolved.</t>
  </si>
  <si>
    <t xml:space="preserve">8.3.4</t>
  </si>
  <si>
    <t xml:space="preserve">Design and development controls</t>
  </si>
  <si>
    <t xml:space="preserve">Control the design so that expected results are defined, reviews, verification and validation are done, problems are acted on, records are kept and progression to the next stage is authorized, with relevant functions in design reviews.</t>
  </si>
  <si>
    <t xml:space="preserve">Can you show reviews, verification and validation records and the authorization to move to each next stage?</t>
  </si>
  <si>
    <t xml:space="preserve">Design review minutes, verification and validation plans and reports, authorization records.</t>
  </si>
  <si>
    <t xml:space="preserve">Reviews held without the right functions; validation done but not recorded; progression without formal approval.</t>
  </si>
  <si>
    <t xml:space="preserve">Show a design review that changed the design.</t>
  </si>
  <si>
    <t xml:space="preserve">8.3.4.1</t>
  </si>
  <si>
    <t xml:space="preserve">Testing for verification and validation</t>
  </si>
  <si>
    <t xml:space="preserve">Plan, control, review and document tests used for verification and validation: test plans identify item, resources, objectives, conditions, parameters and criteria; procedures define methods and records; correct test item configuration; compliance with plans; acceptance criteria met. Test equipment is controlled under 7.1.5. Conclude with reports proving the design meets requirements across operating conditions.</t>
  </si>
  <si>
    <t xml:space="preserve">How do you show that tests were carried out on the correct configuration with controlled equipment against defined criteria?</t>
  </si>
  <si>
    <t xml:space="preserve">Test plans and procedures, configuration records of test items, calibrated test equipment records, test reports.</t>
  </si>
  <si>
    <t xml:space="preserve">Test item configuration not recorded; test equipment out of calibration; acceptance criteria defined after testing; reports do not cover all operating conditions.</t>
  </si>
  <si>
    <t xml:space="preserve">Select a test report and show its plan, test item configuration and equipment calibration.</t>
  </si>
  <si>
    <t xml:space="preserve">8.3.5</t>
  </si>
  <si>
    <t xml:space="preserve">Design and development outputs (critical items and data)</t>
  </si>
  <si>
    <t xml:space="preserve">Outputs must meet inputs, support later processes, include acceptance criteria, specify characteristics essential to safe and proper use, identify critical items and key characteristics with actions, and be approved before release. Define the data needed to identify, make, verify, use and maintain the product, and retain records.</t>
  </si>
  <si>
    <t xml:space="preserve">Do design outputs identify critical items and key characteristics and give production and inspection what they need?</t>
  </si>
  <si>
    <t xml:space="preserve">Released drawings and models, parts lists, specifications, critical item and key characteristic designations, approval records.</t>
  </si>
  <si>
    <t xml:space="preserve">Critical items not flagged on released data; incomplete data package; release without authorized approval.</t>
  </si>
  <si>
    <t xml:space="preserve">Show a released drawing and its critical item identification and approval.</t>
  </si>
  <si>
    <t xml:space="preserve">8.3.6</t>
  </si>
  <si>
    <t xml:space="preserve">Design and development changes</t>
  </si>
  <si>
    <t xml:space="preserve">Identify, review and control design changes so there is no adverse effect on conformity. Have a process with criteria for notifying the customer before implementing changes that affect customer requirements. Retain records of changes, reviews, authorization and actions. Control design changes under configuration management.</t>
  </si>
  <si>
    <t xml:space="preserve">How do you decide whether a design change needs customer notification, and how is it tied into configuration control?</t>
  </si>
  <si>
    <t xml:space="preserve">Change records, customer notification criteria and records, review and authorization evidence, configuration updates.</t>
  </si>
  <si>
    <t xml:space="preserve">No criteria for customer notification; changes implemented before approval; configuration records not updated.</t>
  </si>
  <si>
    <t xml:space="preserve">Show a recent change that required customer approval and when it was obtained.</t>
  </si>
  <si>
    <t xml:space="preserve">9116</t>
  </si>
  <si>
    <t xml:space="preserve">8.4.1 a</t>
  </si>
  <si>
    <t xml:space="preserve">External providers: responsibility, customer-designated sources and risk</t>
  </si>
  <si>
    <t xml:space="preserve">The organization is responsible for conformity of everything externally provided, including from customer-defined sources. Use customer-designated or approved providers when required, identify and manage risks of external provision and provider selection, and require providers to apply appropriate controls to their own sub-tier providers.</t>
  </si>
  <si>
    <t xml:space="preserve">How does the organization remain responsible for externally provided product, and how does it manage customer-designated sources and sub-tier risk?</t>
  </si>
  <si>
    <t xml:space="preserve">Purchasing procedure, customer-designated source list, risk assessments of providers, flow-down evidence to sub-tier providers.</t>
  </si>
  <si>
    <t xml:space="preserve">Customer-designated sources used without checking current approval; no risk assessment of providers; sub-tier controls not required.</t>
  </si>
  <si>
    <t xml:space="preserve">Show the sub-tier controls required of a critical provider.</t>
  </si>
  <si>
    <t xml:space="preserve">9134</t>
  </si>
  <si>
    <t xml:space="preserve">8.4.1 b</t>
  </si>
  <si>
    <t xml:space="preserve">Evaluation, selection, monitoring and re-evaluation of providers</t>
  </si>
  <si>
    <t xml:space="preserve">Apply criteria for evaluating, selecting, monitoring and re-evaluating external providers based on their ability to supply to requirements, and retain records. Third-party quality data may be used but the organization stays responsible for verifying conformity.</t>
  </si>
  <si>
    <t xml:space="preserve">How are providers selected and re-evaluated, and what data is used?</t>
  </si>
  <si>
    <t xml:space="preserve">Evaluation and selection records, scorecards, audit reports, certification status checks, re-evaluation records.</t>
  </si>
  <si>
    <t xml:space="preserve">Provider approved on certificate alone; scorecards not updated; re-evaluation never carried out.</t>
  </si>
  <si>
    <t xml:space="preserve">Show the evaluation file of one critical provider and its last re-evaluation.</t>
  </si>
  <si>
    <t xml:space="preserve">8.4.1.1</t>
  </si>
  <si>
    <t xml:space="preserve">Provider approval status and register</t>
  </si>
  <si>
    <t xml:space="preserve">Define the process, responsibility and authority for approving providers, changing approval status and the conditions for controlled use; keep a register showing approval status and scope; review provider performance periodically; define actions for providers that miss requirements; and set controls for documented information held by providers.</t>
  </si>
  <si>
    <t xml:space="preserve">Is there a register with approval status and scope for every provider, and does purchasing respect it?</t>
  </si>
  <si>
    <t xml:space="preserve">Approved provider register with status and scope, status change records, performance reviews, corrective action requests to providers.</t>
  </si>
  <si>
    <t xml:space="preserve">Register lacks scope of approval; orders placed with disapproved or conditional providers; on-time delivery and conformity not reviewed together; no defined action for poor performers.</t>
  </si>
  <si>
    <t xml:space="preserve">Pick three purchase orders and match each to the provider's status and approved scope.</t>
  </si>
  <si>
    <t xml:space="preserve">8.4.2 a-c</t>
  </si>
  <si>
    <t xml:space="preserve">Type and extent of control</t>
  </si>
  <si>
    <t xml:space="preserve">Ensure externally provided processes, products and services do not adversely affect the ability to deliver conforming product: keep outsourced processes within QMS control, define controls for the provider and for the output, and consider impact, provider control effectiveness and performance reviews.</t>
  </si>
  <si>
    <t xml:space="preserve">How does the organization decide the type and extent of control for each provider and product?</t>
  </si>
  <si>
    <t xml:space="preserve">Control level definitions, risk-based control plans, receiving inspection plans, provider performance reviews.</t>
  </si>
  <si>
    <t xml:space="preserve">Same controls applied to every provider regardless of risk; control level not reviewed after nonconformities.</t>
  </si>
  <si>
    <t xml:space="preserve">Show how control changed after a provider nonconformity.</t>
  </si>
  <si>
    <t xml:space="preserve">8.4.2 verification</t>
  </si>
  <si>
    <t xml:space="preserve">Verification of external product, release pending verification</t>
  </si>
  <si>
    <t xml:space="preserve">Verification must reflect the identified risks and include inspection or periodic testing where nonconformity risk is high, including counterfeit parts. If product is released for production before verification is complete, it must be identified and recorded to allow recall and replacement.</t>
  </si>
  <si>
    <t xml:space="preserve">Is verification of purchased product based on risk, and is product released pending verification traceable?</t>
  </si>
  <si>
    <t xml:space="preserve">Receiving inspection plans with risk basis, test records, positive recall records, release-pending-verification records.</t>
  </si>
  <si>
    <t xml:space="preserve">Verification identical for all products; no extra checks for counterfeit risk; product released early with no recall identification.</t>
  </si>
  <si>
    <t xml:space="preserve">Take a product released pending verification and show how it could be recalled.</t>
  </si>
  <si>
    <t xml:space="preserve">9102, 9133</t>
  </si>
  <si>
    <t xml:space="preserve">8.4.2 delegation</t>
  </si>
  <si>
    <t xml:space="preserve">Delegated verification</t>
  </si>
  <si>
    <t xml:space="preserve">When verification is delegated to an external provider, define the scope and requirements of delegation, keep a register of delegations and periodically monitor the provider's delegated verification.</t>
  </si>
  <si>
    <t xml:space="preserve">Which verification activities are delegated to providers, and how is delegation controlled and monitored?</t>
  </si>
  <si>
    <t xml:space="preserve">Delegation agreements, delegation register, monitoring or audit records of delegated activities.</t>
  </si>
  <si>
    <t xml:space="preserve">Delegation exists by habit with no agreement or register; no monitoring of delegated inspection; customers not informed where required.</t>
  </si>
  <si>
    <t xml:space="preserve">Show the register and the last check of a delegated activity.</t>
  </si>
  <si>
    <t xml:space="preserve">8.4.2 test reports</t>
  </si>
  <si>
    <t xml:space="preserve">External test reports and raw material validation</t>
  </si>
  <si>
    <t xml:space="preserve">When provider test reports verify purchased product, evaluate the data in the reports to confirm requirements are met. Where raw material is a significant operational risk, for example critical items, validate the accuracy of the test reports.</t>
  </si>
  <si>
    <t xml:space="preserve">Are provider test reports reviewed against requirements, and is accuracy validated for high-risk material?</t>
  </si>
  <si>
    <t xml:space="preserve">Test report review records, independent test results, validation sampling plans, material certificates.</t>
  </si>
  <si>
    <t xml:space="preserve">Certificates filed without review; no independent testing for critical raw material; discrepancies between certificate and specification not noticed.</t>
  </si>
  <si>
    <t xml:space="preserve">Select a critical material and show how its test report was verified.</t>
  </si>
  <si>
    <t xml:space="preserve">8.4.3 a-j</t>
  </si>
  <si>
    <t xml:space="preserve">Information for external providers: technical and approval requirements</t>
  </si>
  <si>
    <t xml:space="preserve">Check the adequacy of requirements before sending them. Tell providers the requirements for the product or process including technical data, approvals, competence, interaction, performance monitoring, verification at their premises, design control, special requirements, critical items and key characteristics, tests and inspection, and statistical acceptance rules.</t>
  </si>
  <si>
    <t xml:space="preserve">What information do purchase orders carry, and who checks it before release?</t>
  </si>
  <si>
    <t xml:space="preserve">Purchase orders and attachments, technical data packages, review before release, records of agreed requirements.</t>
  </si>
  <si>
    <t xml:space="preserve">Purchase orders reference drawings without revision; key characteristics and special requirements not passed on; no review before release.</t>
  </si>
  <si>
    <t xml:space="preserve">Compare a purchase order with the customer order and drawing for completeness.</t>
  </si>
  <si>
    <t xml:space="preserve">9103, 9116</t>
  </si>
  <si>
    <t xml:space="preserve">8.4.3 k-m</t>
  </si>
  <si>
    <t xml:space="preserve">Information for external providers: flow-down, access and awareness</t>
  </si>
  <si>
    <t xml:space="preserve">Require providers to implement a QMS, use customer-designated sources, report nonconformities and obtain disposition approval, prevent counterfeit parts, notify changes including changes of sub-tier or manufacturing location, flow down requirements, provide test specimens, and retain records. Secure right of access for the organization, its customer and regulators at any supply-chain level, and ensure providers' staff know about conformity, product safety and ethics.</t>
  </si>
  <si>
    <t xml:space="preserve">How are these flow-down items placed in purchase orders and how do you know providers comply?</t>
  </si>
  <si>
    <t xml:space="preserve">Standard terms and conditions, flow-down matrix, provider acknowledgements, audit records, right-of-access clause.</t>
  </si>
  <si>
    <t xml:space="preserve">Terms and conditions missing counterfeit, change notification or right-of-access clauses; flow-downs not tailored to the customer contract; no evidence providers comply.</t>
  </si>
  <si>
    <t xml:space="preserve">Show the clauses in your standard order terms covering change notification and right of access.</t>
  </si>
  <si>
    <t xml:space="preserve">8.5.1 a-c</t>
  </si>
  <si>
    <t xml:space="preserve">Controlled conditions: documented information, measurement and acceptance</t>
  </si>
  <si>
    <t xml:space="preserve">Run production under controlled conditions: documented product definition and activity instructions are available; suitable monitoring and measuring resources are used; verification is done at suitable stages. Acceptance documents must state criteria, where in the sequence verification happens, results retained (at least accept or reject) and the equipment needed. Sampling plans must rest on recognized statistical principles and match product criticality and process capability.</t>
  </si>
  <si>
    <t xml:space="preserve">At the workstation, what documents define the part and the activity, and where is acceptance recorded?</t>
  </si>
  <si>
    <t xml:space="preserve">Travelers, work instructions, drawings at current revision, inspection plans, sampling plans with justification, measurement records.</t>
  </si>
  <si>
    <t xml:space="preserve">Work instructions lack acceptance criteria or inspection point; sampling plan not justified for critical characteristics; only an overall pass recorded.</t>
  </si>
  <si>
    <t xml:space="preserve">Choose a job in progress and trace each requirement to its instruction and its record.</t>
  </si>
  <si>
    <t xml:space="preserve">9103, 9162</t>
  </si>
  <si>
    <t xml:space="preserve">8.5.1 d-i</t>
  </si>
  <si>
    <t xml:space="preserve">Controlled conditions: infrastructure, competence, special processes, human error, workmanship</t>
  </si>
  <si>
    <t xml:space="preserve">Use suitable infrastructure and environment, appoint competent and where required qualified persons, validate and periodically revalidate processes whose output cannot be verified later, act to prevent human error, define release, delivery and post-delivery activities, and set workmanship criteria such as written standards or representative samples.</t>
  </si>
  <si>
    <t xml:space="preserve">What has the organization done to prevent human error, and how is workmanship defined?</t>
  </si>
  <si>
    <t xml:space="preserve">Error-proofing measures (poka-yoke, checklists), qualification records, workmanship standards and samples, process revalidation records.</t>
  </si>
  <si>
    <t xml:space="preserve">Human error analysed only after escapes; no workmanship standard for visual defects; operator qualification not linked to the task.</t>
  </si>
  <si>
    <t xml:space="preserve">Show an error-proofing measure introduced after a nonconformity and its effect.</t>
  </si>
  <si>
    <t xml:space="preserve">8.5.1 j-n</t>
  </si>
  <si>
    <t xml:space="preserve">Controlled conditions: accountability, critical items, variable data and in-process verification</t>
  </si>
  <si>
    <t xml:space="preserve">Account for all products during production (quantities, split orders, nonconforming product), control and monitor critical items including key characteristics, set methods for measuring variable data, define in-process inspection points where later verification cannot confirm conformity, and keep evidence that all production and inspection operations were completed as planned or authorized.</t>
  </si>
  <si>
    <t xml:space="preserve">How do you account for every part in a lot, and how do you prove all planned operations were completed?</t>
  </si>
  <si>
    <t xml:space="preserve">Lot reconciliation records, split-order controls, key characteristic data and charts, in-process inspection records, operation completion sign-offs.</t>
  </si>
  <si>
    <t xml:space="preserve">Quantity reconciliation not done at splits; key characteristic data not trended; operations skipped without authorized deviation; stamps applied before work finished.</t>
  </si>
  <si>
    <t xml:space="preserve">Reconcile a closed lot from material issue to shipment.</t>
  </si>
  <si>
    <t xml:space="preserve">8.5.1 o-q</t>
  </si>
  <si>
    <t xml:space="preserve">Controlled conditions: foreign objects, utilities and release pending verification</t>
  </si>
  <si>
    <t xml:space="preserve">Provide for prevention, detection and removal of foreign objects, control and monitor utilities and supplies (water, compressed air, power, chemicals) to the extent they affect conformity, and identify and record product released for later production before all measurement is complete so it can be recalled.</t>
  </si>
  <si>
    <t xml:space="preserve">How are foreign objects prevented and detected, and how are utilities that affect product controlled?</t>
  </si>
  <si>
    <t xml:space="preserve">Foreign object prevention procedure, tool and consumable control, housekeeping audits, utility monitoring records, release-pending records.</t>
  </si>
  <si>
    <t xml:space="preserve">No tool control in assembly or machining areas; compressed air or coolant quality never monitored; products released early with no recall marking.</t>
  </si>
  <si>
    <t xml:space="preserve">Show the tool control method in a critical assembly or cleaning area.</t>
  </si>
  <si>
    <t xml:space="preserve">9162</t>
  </si>
  <si>
    <t xml:space="preserve">8.5.1.1</t>
  </si>
  <si>
    <t xml:space="preserve">Control of equipment, tools and software programs</t>
  </si>
  <si>
    <t xml:space="preserve">Validate equipment, tools and software programs that automate, control, monitor or measure production before release for production, maintain them, and define storage requirements including periodic preservation or condition checks for stored equipment and tooling.</t>
  </si>
  <si>
    <t xml:space="preserve">How are tooling, fixtures and programs (including CNC and test programs) validated before use and controlled in storage?</t>
  </si>
  <si>
    <t xml:space="preserve">Program validation and first-run records, tool and fixture qualification, program revision control, storage condition checks.</t>
  </si>
  <si>
    <t xml:space="preserve">CNC programs changed at the machine without control; fixtures not verified; stored tooling never checked.</t>
  </si>
  <si>
    <t xml:space="preserve">Take a CNC program in use and show its validation and revision history.</t>
  </si>
  <si>
    <t xml:space="preserve">8.5.1.2</t>
  </si>
  <si>
    <t xml:space="preserve">Validation and control of special processes</t>
  </si>
  <si>
    <t xml:space="preserve">For processes whose output cannot be verified by later monitoring or measurement, set arrangements covering process approval criteria, conditions to maintain approval, approval of facilities and equipment, qualification of people, specific methods and procedures, and records.</t>
  </si>
  <si>
    <t xml:space="preserve">Which special processes does the organization run or outsource (for example heat treatment, plating, welding, NDT) and how are they approved?</t>
  </si>
  <si>
    <t xml:space="preserve">Special process list, process approvals and customer or Nadcap approvals, personnel qualifications, equipment surveys, process records and test coupons.</t>
  </si>
  <si>
    <t xml:space="preserve">Special process list incomplete; approvals expired; operators qualified for a different process; process parameters not recorded.</t>
  </si>
  <si>
    <t xml:space="preserve">Take one special process and show approval, operator qualification and the last batch record.</t>
  </si>
  <si>
    <t xml:space="preserve">8.5.1.3</t>
  </si>
  <si>
    <t xml:space="preserve">Production process verification and first article inspection</t>
  </si>
  <si>
    <t xml:space="preserve">Run activities that confirm the production process can make conforming product (risk assessments, capacity and capability studies, control plans). Use a representative item from the first production run of a new part or assembly to verify processes, documents and tooling, and repeat when changes invalidate earlier results. Retain results. This is generally called first article inspection (FAI).</t>
  </si>
  <si>
    <t xml:space="preserve">When is first article inspection performed and repeated, and what does it cover?</t>
  </si>
  <si>
    <t xml:space="preserve">FAI reports, triggers for repeat FAI (engineering, process, tooling, location changes), capability studies, control plans.</t>
  </si>
  <si>
    <t xml:space="preserve">FAI done on a prototype instead of a representative production item; not repeated after a tooling or process change; FAI report incomplete or characteristics missing.</t>
  </si>
  <si>
    <t xml:space="preserve">Select a part with an engineering change and show its repeat FAI.</t>
  </si>
  <si>
    <t xml:space="preserve">9102</t>
  </si>
  <si>
    <t xml:space="preserve">8.5.2</t>
  </si>
  <si>
    <t xml:space="preserve">Identification and traceability</t>
  </si>
  <si>
    <t xml:space="preserve">Identify outputs where necessary for conformity, keep the identification of configuration so differences from the required configuration can be seen, show monitoring and measurement status through production, control acceptance authority media (stamps, e-signatures, passwords), and keep records enabling traceability.</t>
  </si>
  <si>
    <t xml:space="preserve">Can you trace a delivered product back to material, process and inspection records, and forward from a material batch to its destinations?</t>
  </si>
  <si>
    <t xml:space="preserve">Traceability records, lot and serial controls, status labels, stamp and electronic signature controls, parts marking records.</t>
  </si>
  <si>
    <t xml:space="preserve">Traceability lost at splits or rework; stamps unsecured or shared; electronic signatures not controlled; configuration not identifiable on parts.</t>
  </si>
  <si>
    <t xml:space="preserve">Pick one serial number and trace it back to material and forward to shipment.</t>
  </si>
  <si>
    <t xml:space="preserve">9132</t>
  </si>
  <si>
    <t xml:space="preserve">8.5.3</t>
  </si>
  <si>
    <t xml:space="preserve">Property belonging to customers or external providers</t>
  </si>
  <si>
    <t xml:space="preserve">Take care of customer and provider property under the organization's control, identify, verify, protect and safeguard it, and report and record loss, damage or unsuitability.</t>
  </si>
  <si>
    <t xml:space="preserve">How is customer-supplied material, tooling and data identified and protected?</t>
  </si>
  <si>
    <t xml:space="preserve">Customer property register, storage controls, incoming checks, loss or damage reports to the customer.</t>
  </si>
  <si>
    <t xml:space="preserve">Customer tooling stored without identification; damage not reported; supplied data not controlled.</t>
  </si>
  <si>
    <t xml:space="preserve">Show the register and the last report to a customer about its property.</t>
  </si>
  <si>
    <t xml:space="preserve">8.5.4</t>
  </si>
  <si>
    <t xml:space="preserve">Preservation</t>
  </si>
  <si>
    <t xml:space="preserve">Preserve outputs to the extent needed for conformity. Where applicable, also provide for cleaning, foreign object control, special handling and storage for sensitive products, marking and labelling with safety warnings, shelf life control and stock rotation, and handling of hazardous materials.</t>
  </si>
  <si>
    <t xml:space="preserve">How are sensitive items, shelf-life materials and hazardous materials stored and rotated?</t>
  </si>
  <si>
    <t xml:space="preserve">Storage and handling procedures, shelf-life registers, FIFO or FEFO controls, packaging specifications, condition checks.</t>
  </si>
  <si>
    <t xml:space="preserve">Shelf-life items past expiry still in stock; no segregation of sensitive items; packaging does not follow customer specification.</t>
  </si>
  <si>
    <t xml:space="preserve">Walk the store and check three shelf-life items against the register.</t>
  </si>
  <si>
    <t xml:space="preserve">8.5.5</t>
  </si>
  <si>
    <t xml:space="preserve">Post-delivery activities</t>
  </si>
  <si>
    <t xml:space="preserve">Meet post-delivery requirements, considering statutory and regulatory requirements, undesired consequences, product life, customer requirements and feedback, in-service data, technical documentation, off-site work and product or customer support. Investigate and report problems found after delivery.</t>
  </si>
  <si>
    <t xml:space="preserve">What post-delivery obligations exist (warranty, repair support, technical data, in-service feedback), and how are problems handled?</t>
  </si>
  <si>
    <t xml:space="preserve">Warranty and support records, in-service data analysis, technical documentation updates, off-site work controls, investigation records.</t>
  </si>
  <si>
    <t xml:space="preserve">Post-delivery treated as out of scope although warranty or support exists; in-service feedback not analysed; no process for off-site work.</t>
  </si>
  <si>
    <t xml:space="preserve">Show how a problem reported after delivery was investigated and reported.</t>
  </si>
  <si>
    <t xml:space="preserve">8.5.6</t>
  </si>
  <si>
    <t xml:space="preserve">Control of changes in production or service provision</t>
  </si>
  <si>
    <t xml:space="preserve">Review and control changes to production or service provision, identify who may approve changes, and retain records of review results, authorization and actions. Changes can affect processes, equipment, tools or software programs.</t>
  </si>
  <si>
    <t xml:space="preserve">Who is authorized to approve process, equipment, tooling and program changes, and what is verified after each change?</t>
  </si>
  <si>
    <t xml:space="preserve">Process change requests, approval records, post-change verification and FAI records, customer notifications where required.</t>
  </si>
  <si>
    <t xml:space="preserve">Changes made by supervisors with no approval; no verification after change; customer not notified where contract requires it.</t>
  </si>
  <si>
    <t xml:space="preserve">Show a recent process change, who authorized it and what was verified.</t>
  </si>
  <si>
    <t xml:space="preserve">8.6</t>
  </si>
  <si>
    <t xml:space="preserve">Release of products and services</t>
  </si>
  <si>
    <t xml:space="preserve">Verify at planned stages that requirements are met and do not release until arrangements are satisfied, unless approved by a relevant authority and where applicable the customer. Retain evidence of conformity and traceability to the person authorizing release; where product qualification is required, evidence must show it. All required documentation must accompany delivery.</t>
  </si>
  <si>
    <t xml:space="preserve">What must be complete before shipment, and who authorizes release?</t>
  </si>
  <si>
    <t xml:space="preserve">Release records, certificates of conformity, inspection and test records, shipping documentation checklist, authorization lists.</t>
  </si>
  <si>
    <t xml:space="preserve">Release by people not authorized; documents missing at delivery; release with open actions and no concession approval.</t>
  </si>
  <si>
    <t xml:space="preserve">Take a shipment and verify each required document against the checklist.</t>
  </si>
  <si>
    <t xml:space="preserve">9107, 9114, 9133, 9162</t>
  </si>
  <si>
    <t xml:space="preserve">8.7.1 a</t>
  </si>
  <si>
    <t xml:space="preserve">Nonconforming outputs: control process</t>
  </si>
  <si>
    <t xml:space="preserve">Identify and control nonconforming outputs, including product found after delivery or supplied by providers, take appropriate action, and maintain a documented process defining responsibility and authority for review and disposition, containment, timely customer notification and corrective action after delivery.</t>
  </si>
  <si>
    <t xml:space="preserve">How are nonconformities identified, contained and reported, and who can disposition them?</t>
  </si>
  <si>
    <t xml:space="preserve">Nonconformity procedure, nonconforming material reports, quarantine areas, disposition authority list, customer notification records.</t>
  </si>
  <si>
    <t xml:space="preserve">Quarantine areas not controlled; dispositions made by people without authority; customers not told of escaped nonconformities.</t>
  </si>
  <si>
    <t xml:space="preserve">Show a nonconformity found after delivery and the customer notification.</t>
  </si>
  <si>
    <t xml:space="preserve">9131</t>
  </si>
  <si>
    <t xml:space="preserve">8.7.1 b</t>
  </si>
  <si>
    <t xml:space="preserve">Nonconforming outputs: disposition, scrap and counterfeit control</t>
  </si>
  <si>
    <t xml:space="preserve">Use-as-is and repair dispositions need approval by design authority or delegated persons, and customer authorization when contract requirements are departed from. Scrap must be conspicuously and permanently marked or positively controlled until unusable. Counterfeit and suspect parts must be controlled to prevent re-entry into the supply chain. Verify conformity after correction.</t>
  </si>
  <si>
    <t xml:space="preserve">Who approves use-as-is and repair dispositions, and how is scrap controlled?</t>
  </si>
  <si>
    <t xml:space="preserve">Material review board records, design authority approvals, customer concession records, scrap marking and disposal records, reinspection records.</t>
  </si>
  <si>
    <t xml:space="preserve">Use-as-is approved by quality only; customer concession not requested where required; scrap bins open and unmarked; reworked parts not re-verified.</t>
  </si>
  <si>
    <t xml:space="preserve">Select a use-as-is disposition and show the design approval and customer authorization.</t>
  </si>
  <si>
    <t xml:space="preserve">8.7.2</t>
  </si>
  <si>
    <t xml:space="preserve">Nonconformity records</t>
  </si>
  <si>
    <t xml:space="preserve">Retain records describing the nonconformity, the actions taken, concessions obtained and the authority that decided the action.</t>
  </si>
  <si>
    <t xml:space="preserve">Do nonconformity records give enough information to understand what happened and what was decided?</t>
  </si>
  <si>
    <t xml:space="preserve">Nonconformity reports, concession records, disposition decisions with authority.</t>
  </si>
  <si>
    <t xml:space="preserve">Records vague or incomplete; no link to affected lots; decision authority not identified.</t>
  </si>
  <si>
    <t xml:space="preserve">Select two reports and reconstruct what happened from the record alone.</t>
  </si>
  <si>
    <t xml:space="preserve">9.1.1</t>
  </si>
  <si>
    <t xml:space="preserve">Monitoring and measurement: general</t>
  </si>
  <si>
    <t xml:space="preserve">Determine what to monitor and measure, the methods, the timing, and when results are analysed and evaluated; evaluate QMS performance and effectiveness and retain evidence.</t>
  </si>
  <si>
    <t xml:space="preserve">What does the organization measure to know the QMS works, and how often is it reviewed?</t>
  </si>
  <si>
    <t xml:space="preserve">Measurement plan, KPI reports, analysis records, evidence of use in decision making.</t>
  </si>
  <si>
    <t xml:space="preserve">Data collected but not analysed; KPIs measure activity, not results; no link to objectives.</t>
  </si>
  <si>
    <t xml:space="preserve">Pick a KPI and show a decision it informed.</t>
  </si>
  <si>
    <t xml:space="preserve">9.1.2</t>
  </si>
  <si>
    <t xml:space="preserve">Customer satisfaction (incl. delivery, complaints, corrective action requests)</t>
  </si>
  <si>
    <t xml:space="preserve">Monitor customer perception and determine the methods. The information must include product conformity, on-time delivery, complaints and corrective action requests. Develop and implement plans to improve customer satisfaction where deficiencies are found, and assess their effectiveness.</t>
  </si>
  <si>
    <t xml:space="preserve">How does the organization know customer perception and what plans exist where it is poor?</t>
  </si>
  <si>
    <t xml:space="preserve">Customer scorecards and feedback, complaint and corrective action request logs, satisfaction improvement plans, effectiveness reviews.</t>
  </si>
  <si>
    <t xml:space="preserve">Only surveys used; scorecards not analysed; no improvement plan after poor ratings; effectiveness not assessed.</t>
  </si>
  <si>
    <t xml:space="preserve">Show a customer rating drop and the plan that followed.</t>
  </si>
  <si>
    <t xml:space="preserve">9.1.3</t>
  </si>
  <si>
    <t xml:space="preserve">Analysis and evaluation of data</t>
  </si>
  <si>
    <t xml:space="preserve">Analyse and evaluate data to judge product conformity, customer satisfaction, QMS performance, planning effectiveness, effectiveness of risk and opportunity actions, provider performance and need for improvement. External sources such as industry alerts can be input.</t>
  </si>
  <si>
    <t xml:space="preserve">Where do trends from nonconformities, audits, deliveries and providers come together?</t>
  </si>
  <si>
    <t xml:space="preserve">Trend analyses, Pareto charts, data review records, alert monitoring.</t>
  </si>
  <si>
    <t xml:space="preserve">Analysis limited to counts; provider performance not included; external alerts ignored.</t>
  </si>
  <si>
    <t xml:space="preserve">Show a trend that led to a corrective or preventive action.</t>
  </si>
  <si>
    <t xml:space="preserve">9.2.1-9.2.2 a-b</t>
  </si>
  <si>
    <t xml:space="preserve">Internal audit programme</t>
  </si>
  <si>
    <t xml:space="preserve">Audit at planned intervals to determine whether the QMS conforms to the organization's own requirements (including customer, statutory and regulatory ones), to the standard, and is effectively implemented and maintained. Plan a programme considering process importance, changes and earlier results, with defined criteria and scope for each audit.</t>
  </si>
  <si>
    <t xml:space="preserve">Is the audit programme risk-based and does it cover all processes, shifts and requirements including customer-specific ones?</t>
  </si>
  <si>
    <t xml:space="preserve">Audit programme, schedule, audit plans with criteria and scope, previous results used as input.</t>
  </si>
  <si>
    <t xml:space="preserve">Audits not scheduled by process importance; customer requirements never audited; shifts and sites missing; checklist only against the standard.</t>
  </si>
  <si>
    <t xml:space="preserve">Show how the last year's findings shaped this year's programme.</t>
  </si>
  <si>
    <t xml:space="preserve">9.2.2 c-f</t>
  </si>
  <si>
    <t xml:space="preserve">Internal audit execution: objectivity, reporting and follow-up</t>
  </si>
  <si>
    <t xml:space="preserve">Select auditors to ensure objectivity and impartiality, report results to relevant management, take correction and corrective action without undue delay, and retain evidence of the programme and results.</t>
  </si>
  <si>
    <t xml:space="preserve">Are auditors independent of the area audited, and are findings closed on time?</t>
  </si>
  <si>
    <t xml:space="preserve">Auditor qualifications and independence evidence, audit reports, corrective action tracking, overdue action reports.</t>
  </si>
  <si>
    <t xml:space="preserve">Auditors audit their own area; findings open for months; reports not seen by management; auditor competence not shown.</t>
  </si>
  <si>
    <t xml:space="preserve">Pick a finding from the last audit and show its closure and verification.</t>
  </si>
  <si>
    <t xml:space="preserve">9.3.1-9.3.2</t>
  </si>
  <si>
    <t xml:space="preserve">Management review: planning and inputs (incl. delivery and provider performance)</t>
  </si>
  <si>
    <t xml:space="preserve">Review the QMS at planned intervals for suitability, adequacy, effectiveness and alignment with direction. Inputs include previous actions, changes in issues, performance trends (customer satisfaction, objectives, process and product conformity, nonconformities, monitoring results, audits, provider performance, on-time delivery), resource adequacy, effectiveness of risk actions and opportunities.</t>
  </si>
  <si>
    <t xml:space="preserve">Does management review cover all required inputs, especially on-time delivery and external provider performance?</t>
  </si>
  <si>
    <t xml:space="preserve">Management review agenda, minutes, input data packs, attendance records.</t>
  </si>
  <si>
    <t xml:space="preserve">Required inputs missing, especially delivery and provider performance; review is a presentation with no discussion; top management absent.</t>
  </si>
  <si>
    <t xml:space="preserve">Show the last review's input pack and who attended.</t>
  </si>
  <si>
    <t xml:space="preserve">9.3.3</t>
  </si>
  <si>
    <t xml:space="preserve">Management review: outputs</t>
  </si>
  <si>
    <t xml:space="preserve">Outputs must include decisions and actions on improvement opportunities, needed QMS changes, resource needs and risks identified, and records must be retained.</t>
  </si>
  <si>
    <t xml:space="preserve">What decisions and actions came out of the last management review, and are they tracked?</t>
  </si>
  <si>
    <t xml:space="preserve">Management review actions with owners and dates, resource approvals, follow-up in the next review.</t>
  </si>
  <si>
    <t xml:space="preserve">Minutes record discussion but no decisions; actions not tracked to closure; resource needs ignored.</t>
  </si>
  <si>
    <t xml:space="preserve">Show an action from the last review and its status.</t>
  </si>
  <si>
    <t xml:space="preserve">10.1</t>
  </si>
  <si>
    <t xml:space="preserve">Improvement: general</t>
  </si>
  <si>
    <t xml:space="preserve">Determine and select opportunities for improvement and act to meet customer requirements and enhance satisfaction: improve products and services, correct, prevent or reduce undesired effects, and improve QMS performance and effectiveness.</t>
  </si>
  <si>
    <t xml:space="preserve">How are improvement opportunities identified, prioritized and acted on?</t>
  </si>
  <si>
    <t xml:space="preserve">Improvement register, project records, results data.</t>
  </si>
  <si>
    <t xml:space="preserve">Improvement limited to corrective actions; no prioritization; results not measured.</t>
  </si>
  <si>
    <t xml:space="preserve">Show an improvement project and its measured result.</t>
  </si>
  <si>
    <t xml:space="preserve">10.2.1 a-f</t>
  </si>
  <si>
    <t xml:space="preserve">Nonconformity and corrective action: reaction, root cause and effectiveness</t>
  </si>
  <si>
    <t xml:space="preserve">On a nonconformity, including a complaint, control and correct it and deal with consequences; evaluate the need to remove causes by reviewing and analysing it, determining causes including human factors, and checking for similar nonconformities; implement action, review its effectiveness, update risks and make QMS changes if necessary.</t>
  </si>
  <si>
    <t xml:space="preserve">Is root cause analysis thorough (including human factors) and is effectiveness checked?</t>
  </si>
  <si>
    <t xml:space="preserve">Corrective action reports (8D or equivalent), root cause analyses, effectiveness checks, risk register updates.</t>
  </si>
  <si>
    <t xml:space="preserve">Root cause given as operator error and closed with retraining; effectiveness not verified; similar nonconformities elsewhere not considered.</t>
  </si>
  <si>
    <t xml:space="preserve">Select a repeat nonconformity and show why the first corrective action did not work.</t>
  </si>
  <si>
    <t xml:space="preserve">10.2.1 g-h</t>
  </si>
  <si>
    <t xml:space="preserve">Corrective action: provider flow-down and escalation</t>
  </si>
  <si>
    <t xml:space="preserve">Flow down corrective action requirements to external providers when they are responsible for the nonconformity, and take specific action when timely, effective corrective action is not achieved.</t>
  </si>
  <si>
    <t xml:space="preserve">How are corrective actions passed to providers and what happens when they are late or ineffective?</t>
  </si>
  <si>
    <t xml:space="preserve">Supplier corrective action requests, response tracking, escalation records, provider status changes.</t>
  </si>
  <si>
    <t xml:space="preserve">Provider issues handled by email with no tracking; late responses not escalated; provider status not changed after repeat failures.</t>
  </si>
  <si>
    <t xml:space="preserve">Show a provider corrective action request that was escalated.</t>
  </si>
  <si>
    <t xml:space="preserve">10.2.1-10.2.2</t>
  </si>
  <si>
    <t xml:space="preserve">Corrective action process and records</t>
  </si>
  <si>
    <t xml:space="preserve">Maintain documented information defining the nonconformity and corrective action process, and retain records of the nature of nonconformities, actions taken and results of corrective action. Actions must be appropriate to the effects of the nonconformities.</t>
  </si>
  <si>
    <t xml:space="preserve">Is there a documented corrective action process and do records show nature, actions and results?</t>
  </si>
  <si>
    <t xml:space="preserve">Corrective action procedure, register, completed reports.</t>
  </si>
  <si>
    <t xml:space="preserve">Procedure and practice differ; records incomplete; actions out of proportion to effects.</t>
  </si>
  <si>
    <t xml:space="preserve">Pick three actions and show the full chain from nonconformity to result.</t>
  </si>
  <si>
    <t xml:space="preserve">10.3</t>
  </si>
  <si>
    <t xml:space="preserve">Continual improvement</t>
  </si>
  <si>
    <t xml:space="preserve">Continually improve suitability, adequacy and effectiveness of the QMS, considering analysis results and management review outputs, and monitor and evaluate the effectiveness of improvement actions.</t>
  </si>
  <si>
    <t xml:space="preserve">What evidence shows the QMS is improving over time?</t>
  </si>
  <si>
    <t xml:space="preserve">Trend data over several periods, improvement projects, lessons learned.</t>
  </si>
  <si>
    <t xml:space="preserve">Improvement claimed with no trend data; same issues recur each year.</t>
  </si>
  <si>
    <t xml:space="preserve">Show a metric that improved over two years and what caused it.</t>
  </si>
  <si>
    <t xml:space="preserve">Aerospace Reference</t>
  </si>
  <si>
    <t xml:space="preserve">Key terms and supporting IAQG documents. Paraphrased for field use; the licensed standard is the only authority.</t>
  </si>
  <si>
    <t xml:space="preserve">Key terms (AS9100D clause 3, paraphrased)</t>
  </si>
  <si>
    <t xml:space="preserve">Term</t>
  </si>
  <si>
    <t xml:space="preserve">Meaning</t>
  </si>
  <si>
    <t xml:space="preserve">Reference</t>
  </si>
  <si>
    <t xml:space="preserve">Counterfeit part</t>
  </si>
  <si>
    <t xml:space="preserve">A part that is an unauthorized copy, imitation, substitute or modification and is knowingly presented as a genuine part from an original or authorized manufacturer. Includes false marking, grade, serial number, date code, documentation or performance claims.</t>
  </si>
  <si>
    <t xml:space="preserve">Clause 3.1</t>
  </si>
  <si>
    <t xml:space="preserve">Critical items</t>
  </si>
  <si>
    <t xml:space="preserve">Functions, parts, software, characteristics or processes with a significant effect on providing and using the product (safety, performance, form, fit, function, producibility, service life) that need specific actions to be managed. Examples: safety critical, fracture critical and mission critical items, key characteristics.</t>
  </si>
  <si>
    <t xml:space="preserve">Clause 3.2</t>
  </si>
  <si>
    <t xml:space="preserve">Key characteristic</t>
  </si>
  <si>
    <t xml:space="preserve">A feature whose variation has a significant effect on fit, form, function, performance, service life or producibility and that needs specific action to control the variation.</t>
  </si>
  <si>
    <t xml:space="preserve">Clause 3.3</t>
  </si>
  <si>
    <t xml:space="preserve">The state in which the product can perform its intended function without unacceptable risk of harm to people or damage to property.</t>
  </si>
  <si>
    <t xml:space="preserve">Clause 3.4</t>
  </si>
  <si>
    <t xml:space="preserve">Special requirements</t>
  </si>
  <si>
    <t xml:space="preserve">Requirements, set by the customer or the organization, that carry a high risk of not being met (for example because of complexity, limited experience, immature processes or performance at the limit of capability) and therefore go into the operational risk process.</t>
  </si>
  <si>
    <t xml:space="preserve">Clause 3.5</t>
  </si>
  <si>
    <t xml:space="preserve">Supporting IAQG documents (relationship table in the standard's Annex C)</t>
  </si>
  <si>
    <t xml:space="preserve">Document</t>
  </si>
  <si>
    <t xml:space="preserve">Topic</t>
  </si>
  <si>
    <t xml:space="preserve">Related clauses</t>
  </si>
  <si>
    <t xml:space="preserve">Audit requirements: preparation, execution and reporting of audits to the 9100 series</t>
  </si>
  <si>
    <t xml:space="preserve">4.4, 9.2</t>
  </si>
  <si>
    <t xml:space="preserve">First article inspection requirements</t>
  </si>
  <si>
    <t xml:space="preserve">8.4.2, 8.5.1.3</t>
  </si>
  <si>
    <t xml:space="preserve">Variation management of key characteristics</t>
  </si>
  <si>
    <t xml:space="preserve">8.1, 8.3.5, 8.4.3, 8.5.1</t>
  </si>
  <si>
    <t xml:space="preserve">9107</t>
  </si>
  <si>
    <t xml:space="preserve">Direct delivery authorization guidance</t>
  </si>
  <si>
    <t xml:space="preserve">9114</t>
  </si>
  <si>
    <t xml:space="preserve">Direct ship guidance (shipment from a provider to the customer)</t>
  </si>
  <si>
    <t xml:space="preserve">9115</t>
  </si>
  <si>
    <t xml:space="preserve">Deliverable software requirements, used with 9100</t>
  </si>
  <si>
    <t xml:space="preserve">All clauses</t>
  </si>
  <si>
    <t xml:space="preserve">Notice of change requirements</t>
  </si>
  <si>
    <t xml:space="preserve">8.3.6, 8.4.3, 8.5.6</t>
  </si>
  <si>
    <t xml:space="preserve">Nonconformance documentation: data definition and documentation</t>
  </si>
  <si>
    <t xml:space="preserve">8.7, 10.2</t>
  </si>
  <si>
    <t xml:space="preserve">Data matrix quality requirements for parts marking</t>
  </si>
  <si>
    <t xml:space="preserve">9133</t>
  </si>
  <si>
    <t xml:space="preserve">Qualification procedure for aerospace standard products</t>
  </si>
  <si>
    <t xml:space="preserve">8.4.2, 8.6</t>
  </si>
  <si>
    <t xml:space="preserve">Supply chain risk management guideline</t>
  </si>
  <si>
    <t xml:space="preserve">8.4.1</t>
  </si>
  <si>
    <t xml:space="preserve">Operator self-verification programs</t>
  </si>
  <si>
    <t xml:space="preserve">8.5.1, 8.6</t>
  </si>
  <si>
    <t xml:space="preserve">9110 / 9120</t>
  </si>
  <si>
    <t xml:space="preserve">QMS requirements for aviation maintenance organizations (9110) and for distributors (9120): sister standards to 9100</t>
  </si>
  <si>
    <t xml:space="preserve">Scope selection</t>
  </si>
  <si>
    <t xml:space="preserve">Document numbers, titles and relationships are as listed in AS9100 Rev D. Later revisions of the 9100 series and of these documents may differ; verify against the current IAQG standards register.</t>
  </si>
  <si>
    <t xml:space="preserve">Using AI Safely in an Audit Workflow</t>
  </si>
  <si>
    <t xml:space="preserve">Where AI helps</t>
  </si>
  <si>
    <t xml:space="preserve">Draft questions</t>
  </si>
  <si>
    <t xml:space="preserve">Generate additional audit questions tailored to a process or product.</t>
  </si>
  <si>
    <t xml:space="preserve">Evidence lists</t>
  </si>
  <si>
    <t xml:space="preserve">Turn a clause into a request-for-evidence list to send before the audit.</t>
  </si>
  <si>
    <t xml:space="preserve">Finding wording</t>
  </si>
  <si>
    <t xml:space="preserve">Draft clear, factual finding statements from your raw notes (you verify every word).</t>
  </si>
  <si>
    <t xml:space="preserve">Summaries</t>
  </si>
  <si>
    <t xml:space="preserve">Summarize long procedures or prior reports to prepare faster.</t>
  </si>
  <si>
    <t xml:space="preserve">Guardrails</t>
  </si>
  <si>
    <t xml:space="preserve">Confidentiality</t>
  </si>
  <si>
    <t xml:space="preserve">Do not enter client names, part numbers, drawings, contract terms, customer proprietary data or export-controlled technical data (for example ITAR or EAR). Sanitize first ("Client A", "Part X").</t>
  </si>
  <si>
    <t xml:space="preserve">Verification</t>
  </si>
  <si>
    <t xml:space="preserve">AI can misstate requirements, and AS9100D differs from ISO 9001 in many small ways. Check every clause reference against the licensed standard.</t>
  </si>
  <si>
    <t xml:space="preserve">Judgment</t>
  </si>
  <si>
    <t xml:space="preserve">Classification of findings (minor or major) and conclusions remain the auditor's decision.</t>
  </si>
  <si>
    <t xml:space="preserve">Record</t>
  </si>
  <si>
    <t xml:space="preserve">Note in the audit file where AI assisted drafting.</t>
  </si>
  <si>
    <t xml:space="preserve">Starter prompts</t>
  </si>
  <si>
    <t xml:space="preserve">Evidence request</t>
  </si>
  <si>
    <t xml:space="preserve">"Act as an AS9100D auditor. For clause 8.4.1.1, list the documents and records I should request from a small machining supplier about its external provider approval register. Use generic placeholders; no client data."</t>
  </si>
  <si>
    <t xml:space="preserve">Finding draft</t>
  </si>
  <si>
    <t xml:space="preserve">"Rewrite these notes as a factual nonconformity statement: requirement, evidence observed, gap. Notes: [sanitized notes]."</t>
  </si>
  <si>
    <t xml:space="preserve">Interview prep</t>
  </si>
  <si>
    <t xml:space="preserve">"Suggest 8 open-ended interview questions for a quality engineer about first article inspection triggers (clause 8.5.1.3), avoiding leading questions."</t>
  </si>
  <si>
    <t xml:space="preserve">Root cause review</t>
  </si>
  <si>
    <t xml:space="preserve">"Here is a sanitized corrective action summary. Identify where the root cause analysis is shallow and suggest questions to test whether human factors were considered."</t>
  </si>
</sst>
</file>

<file path=xl/styles.xml><?xml version="1.0" encoding="utf-8"?>
<styleSheet xmlns="http://schemas.openxmlformats.org/spreadsheetml/2006/main">
  <numFmts count="4">
    <numFmt numFmtId="164" formatCode="General"/>
    <numFmt numFmtId="165" formatCode="General"/>
    <numFmt numFmtId="166" formatCode="0%"/>
    <numFmt numFmtId="167" formatCode="yyyy\-mm\-dd"/>
  </numFmts>
  <fonts count="11">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sz val="10"/>
      <name val="Arial"/>
      <family val="0"/>
      <charset val="1"/>
    </font>
    <font>
      <b val="true"/>
      <sz val="11"/>
      <color rgb="FF1F3A5F"/>
      <name val="Arial"/>
      <family val="0"/>
      <charset val="1"/>
    </font>
    <font>
      <b val="true"/>
      <sz val="10"/>
      <name val="Arial"/>
      <family val="0"/>
      <charset val="1"/>
    </font>
    <font>
      <sz val="8"/>
      <color rgb="FF7F7F7F"/>
      <name val="Arial"/>
      <family val="0"/>
      <charset val="1"/>
    </font>
    <font>
      <b val="true"/>
      <sz val="10"/>
      <color rgb="FFFFFFFF"/>
      <name val="Arial"/>
      <family val="0"/>
      <charset val="1"/>
    </font>
    <font>
      <i val="true"/>
      <sz val="9"/>
      <name val="Arial"/>
      <family val="0"/>
      <charset val="1"/>
    </font>
  </fonts>
  <fills count="5">
    <fill>
      <patternFill patternType="none"/>
    </fill>
    <fill>
      <patternFill patternType="gray125"/>
    </fill>
    <fill>
      <patternFill patternType="solid">
        <fgColor rgb="FFFFF9DB"/>
        <bgColor rgb="FFFFFFFF"/>
      </patternFill>
    </fill>
    <fill>
      <patternFill patternType="solid">
        <fgColor rgb="FF1F3A5F"/>
        <bgColor rgb="FF333333"/>
      </patternFill>
    </fill>
    <fill>
      <patternFill patternType="solid">
        <fgColor rgb="FFD9E2F0"/>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true">
      <alignment horizontal="general" vertical="bottom" textRotation="0" wrapText="false" indent="0" shrinkToFit="false"/>
      <protection locked="fals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true">
      <alignment horizontal="general" vertical="top" textRotation="0" wrapText="true" indent="0" shrinkToFit="false"/>
      <protection locked="false" hidden="false"/>
    </xf>
    <xf numFmtId="167" fontId="5" fillId="2" borderId="1" xfId="0" applyFont="true" applyBorder="true" applyAlignment="true" applyProtection="true">
      <alignment horizontal="general" vertical="top" textRotation="0" wrapText="true" indent="0" shrinkToFit="false"/>
      <protection locked="fals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9DB"/>
          <bgColor rgb="FF000000"/>
        </patternFill>
      </fill>
    </dxf>
    <dxf>
      <fill>
        <patternFill>
          <bgColor rgb="FFC6EFCE"/>
        </patternFill>
      </fill>
    </dxf>
    <dxf>
      <fill>
        <patternFill>
          <bgColor rgb="FFFFEB9C"/>
        </patternFill>
      </fill>
    </dxf>
    <dxf>
      <fill>
        <patternFill>
          <bgColor rgb="FFFFC7CE"/>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DB"/>
      <rgbColor rgb="FFD9E2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30" hidden="false" customHeight="true" outlineLevel="0" collapsed="false">
      <c r="B6" s="4" t="s">
        <v>3</v>
      </c>
      <c r="C6" s="5" t="s">
        <v>4</v>
      </c>
    </row>
    <row r="7" customFormat="false" ht="30" hidden="false" customHeight="true" outlineLevel="0" collapsed="false">
      <c r="B7" s="4" t="s">
        <v>5</v>
      </c>
      <c r="C7" s="5" t="s">
        <v>6</v>
      </c>
    </row>
    <row r="8" customFormat="false" ht="16.5" hidden="false" customHeight="true" outlineLevel="0" collapsed="false">
      <c r="B8" s="4" t="s">
        <v>7</v>
      </c>
      <c r="C8" s="5" t="s">
        <v>8</v>
      </c>
    </row>
    <row r="9" customFormat="false" ht="16.5" hidden="false" customHeight="true" outlineLevel="0" collapsed="false">
      <c r="B9" s="4" t="s">
        <v>9</v>
      </c>
      <c r="C9" s="5" t="s">
        <v>10</v>
      </c>
    </row>
    <row r="10" customFormat="false" ht="30" hidden="false" customHeight="true" outlineLevel="0" collapsed="false">
      <c r="B10" s="4" t="s">
        <v>11</v>
      </c>
      <c r="C10" s="5" t="s">
        <v>12</v>
      </c>
    </row>
    <row r="11" customFormat="false" ht="16.5" hidden="false" customHeight="true" outlineLevel="0" collapsed="false">
      <c r="B11" s="4" t="s">
        <v>13</v>
      </c>
      <c r="C11" s="5" t="s">
        <v>14</v>
      </c>
    </row>
    <row r="12" customFormat="false" ht="16.5" hidden="false" customHeight="true" outlineLevel="0" collapsed="false">
      <c r="B12" s="4" t="s">
        <v>15</v>
      </c>
      <c r="C12" s="5" t="s">
        <v>16</v>
      </c>
    </row>
    <row r="13" customFormat="false" ht="30" hidden="false" customHeight="true" outlineLevel="0" collapsed="false">
      <c r="B13" s="4" t="s">
        <v>17</v>
      </c>
      <c r="C13" s="5" t="s">
        <v>18</v>
      </c>
    </row>
    <row r="14" customFormat="false" ht="43.5" hidden="false" customHeight="true" outlineLevel="0" collapsed="false">
      <c r="B14" s="4" t="s">
        <v>19</v>
      </c>
      <c r="C14" s="5" t="s">
        <v>20</v>
      </c>
    </row>
    <row r="15" customFormat="false" ht="30" hidden="false" customHeight="true" outlineLevel="0" collapsed="false">
      <c r="B15" s="4" t="s">
        <v>21</v>
      </c>
      <c r="C15" s="5" t="s">
        <v>22</v>
      </c>
    </row>
    <row r="16" customFormat="false" ht="43.5" hidden="false" customHeight="true" outlineLevel="0" collapsed="false">
      <c r="B16" s="4" t="s">
        <v>23</v>
      </c>
      <c r="C16" s="5" t="s">
        <v>24</v>
      </c>
    </row>
    <row r="17" customFormat="false" ht="57" hidden="false" customHeight="true" outlineLevel="0" collapsed="false">
      <c r="B17" s="4" t="s">
        <v>25</v>
      </c>
      <c r="C17" s="5" t="s">
        <v>26</v>
      </c>
    </row>
    <row r="18" customFormat="false" ht="30" hidden="false" customHeight="true" outlineLevel="0" collapsed="false">
      <c r="B18" s="4" t="s">
        <v>27</v>
      </c>
      <c r="C18" s="5" t="s">
        <v>28</v>
      </c>
    </row>
    <row r="20" customFormat="false" ht="15" hidden="false" customHeight="false" outlineLevel="0" collapsed="false">
      <c r="B20" s="3" t="s">
        <v>29</v>
      </c>
    </row>
    <row r="21" customFormat="false" ht="16.5" hidden="false" customHeight="true" outlineLevel="0" collapsed="false">
      <c r="B21" s="4" t="s">
        <v>30</v>
      </c>
      <c r="C21" s="6" t="s">
        <v>31</v>
      </c>
    </row>
    <row r="22" customFormat="false" ht="16.5" hidden="false" customHeight="true" outlineLevel="0" collapsed="false">
      <c r="B22" s="4" t="s">
        <v>32</v>
      </c>
      <c r="C22" s="6" t="s">
        <v>33</v>
      </c>
    </row>
    <row r="23" customFormat="false" ht="43.5" hidden="false" customHeight="true" outlineLevel="0" collapsed="false">
      <c r="B23" s="4" t="s">
        <v>34</v>
      </c>
      <c r="C23" s="6" t="s">
        <v>35</v>
      </c>
    </row>
    <row r="24" customFormat="false" ht="16.5" hidden="false" customHeight="true" outlineLevel="0" collapsed="false">
      <c r="B24" s="4" t="s">
        <v>36</v>
      </c>
      <c r="C24" s="6" t="s">
        <v>37</v>
      </c>
    </row>
    <row r="25" customFormat="false" ht="16.5" hidden="false" customHeight="true" outlineLevel="0" collapsed="false">
      <c r="B25" s="4" t="s">
        <v>38</v>
      </c>
      <c r="C25" s="6" t="s">
        <v>39</v>
      </c>
    </row>
    <row r="27" customFormat="false" ht="15" hidden="false" customHeight="false" outlineLevel="0" collapsed="false">
      <c r="B27" s="7" t="s">
        <v>40</v>
      </c>
    </row>
  </sheetData>
  <sheetProtection sheet="true" formatColumns="false" formatRows="false" sort="false" autoFilter="false"/>
  <printOptions headings="false" gridLines="false" gridLinesSet="true" horizontalCentered="fals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 2026 Cristian La Bella Consulting. All rights reserved. | cristianlabella.com</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9" min="3" style="0" width="14"/>
  </cols>
  <sheetData>
    <row r="2" customFormat="false" ht="19.7" hidden="false" customHeight="false" outlineLevel="0" collapsed="false">
      <c r="B2" s="1" t="s">
        <v>41</v>
      </c>
    </row>
    <row r="4" customFormat="false" ht="15" hidden="false" customHeight="false" outlineLevel="0" collapsed="false">
      <c r="B4" s="8" t="s">
        <v>42</v>
      </c>
      <c r="C4" s="9"/>
      <c r="D4" s="9"/>
      <c r="E4" s="9"/>
      <c r="F4" s="9"/>
    </row>
    <row r="5" customFormat="false" ht="15" hidden="false" customHeight="false" outlineLevel="0" collapsed="false">
      <c r="B5" s="8" t="s">
        <v>43</v>
      </c>
      <c r="C5" s="9"/>
      <c r="D5" s="9"/>
      <c r="E5" s="9"/>
      <c r="F5" s="9"/>
    </row>
    <row r="6" customFormat="false" ht="15" hidden="false" customHeight="false" outlineLevel="0" collapsed="false">
      <c r="B6" s="8" t="s">
        <v>44</v>
      </c>
      <c r="C6" s="9"/>
      <c r="D6" s="9"/>
      <c r="E6" s="9"/>
      <c r="F6" s="9"/>
    </row>
    <row r="7" customFormat="false" ht="15" hidden="false" customHeight="false" outlineLevel="0" collapsed="false">
      <c r="B7" s="8" t="s">
        <v>45</v>
      </c>
      <c r="C7" s="9"/>
      <c r="D7" s="9"/>
      <c r="E7" s="9"/>
      <c r="F7" s="9"/>
    </row>
    <row r="9" customFormat="false" ht="15" hidden="false" customHeight="false" outlineLevel="0" collapsed="false">
      <c r="B9" s="10" t="s">
        <v>46</v>
      </c>
      <c r="C9" s="10" t="s">
        <v>47</v>
      </c>
      <c r="D9" s="10" t="s">
        <v>48</v>
      </c>
      <c r="E9" s="10" t="s">
        <v>33</v>
      </c>
      <c r="F9" s="10" t="s">
        <v>49</v>
      </c>
      <c r="G9" s="10" t="s">
        <v>50</v>
      </c>
      <c r="H9" s="10" t="s">
        <v>51</v>
      </c>
      <c r="I9" s="10" t="s">
        <v>52</v>
      </c>
    </row>
    <row r="10" customFormat="false" ht="15" hidden="false" customHeight="false" outlineLevel="0" collapsed="false">
      <c r="B10" s="11" t="s">
        <v>53</v>
      </c>
      <c r="C10" s="12" t="n">
        <f aca="false">COUNTIF(Checklist!$N$2:$N$89,4)</f>
        <v>5</v>
      </c>
      <c r="D10" s="12" t="n">
        <f aca="false">COUNTIFS(Checklist!$N$2:$N$89,4,Checklist!$J$2:$J$89,"Conforming")</f>
        <v>0</v>
      </c>
      <c r="E10" s="12" t="n">
        <f aca="false">COUNTIFS(Checklist!$N$2:$N$89,4,Checklist!$J$2:$J$89,"Minor gap")</f>
        <v>0</v>
      </c>
      <c r="F10" s="12" t="n">
        <f aca="false">COUNTIFS(Checklist!$N$2:$N$89,4,Checklist!$J$2:$J$89,"Major gap")</f>
        <v>0</v>
      </c>
      <c r="G10" s="12" t="n">
        <f aca="false">COUNTIFS(Checklist!$N$2:$N$89,4,Checklist!$J$2:$J$89,"Not applicable")</f>
        <v>0</v>
      </c>
      <c r="H10" s="12" t="n">
        <f aca="false">COUNTIFS(Checklist!$N$2:$N$89,4,Checklist!$J$2:$J$89,"Not assessed")</f>
        <v>5</v>
      </c>
      <c r="I10" s="13" t="str">
        <f aca="false">IF((C10-G10-H10)=0,"n/a",D10/(C10-G10-H10))</f>
        <v>n/a</v>
      </c>
    </row>
    <row r="11" customFormat="false" ht="15" hidden="false" customHeight="false" outlineLevel="0" collapsed="false">
      <c r="B11" s="11" t="s">
        <v>54</v>
      </c>
      <c r="C11" s="12" t="n">
        <f aca="false">COUNTIF(Checklist!$N$2:$N$89,5)</f>
        <v>5</v>
      </c>
      <c r="D11" s="12" t="n">
        <f aca="false">COUNTIFS(Checklist!$N$2:$N$89,5,Checklist!$J$2:$J$89,"Conforming")</f>
        <v>0</v>
      </c>
      <c r="E11" s="12" t="n">
        <f aca="false">COUNTIFS(Checklist!$N$2:$N$89,5,Checklist!$J$2:$J$89,"Minor gap")</f>
        <v>0</v>
      </c>
      <c r="F11" s="12" t="n">
        <f aca="false">COUNTIFS(Checklist!$N$2:$N$89,5,Checklist!$J$2:$J$89,"Major gap")</f>
        <v>0</v>
      </c>
      <c r="G11" s="12" t="n">
        <f aca="false">COUNTIFS(Checklist!$N$2:$N$89,5,Checklist!$J$2:$J$89,"Not applicable")</f>
        <v>0</v>
      </c>
      <c r="H11" s="12" t="n">
        <f aca="false">COUNTIFS(Checklist!$N$2:$N$89,5,Checklist!$J$2:$J$89,"Not assessed")</f>
        <v>5</v>
      </c>
      <c r="I11" s="13" t="str">
        <f aca="false">IF((C11-G11-H11)=0,"n/a",D11/(C11-G11-H11))</f>
        <v>n/a</v>
      </c>
    </row>
    <row r="12" customFormat="false" ht="15" hidden="false" customHeight="false" outlineLevel="0" collapsed="false">
      <c r="B12" s="11" t="s">
        <v>55</v>
      </c>
      <c r="C12" s="12" t="n">
        <f aca="false">COUNTIF(Checklist!$N$2:$N$89,6)</f>
        <v>5</v>
      </c>
      <c r="D12" s="12" t="n">
        <f aca="false">COUNTIFS(Checklist!$N$2:$N$89,6,Checklist!$J$2:$J$89,"Conforming")</f>
        <v>0</v>
      </c>
      <c r="E12" s="12" t="n">
        <f aca="false">COUNTIFS(Checklist!$N$2:$N$89,6,Checklist!$J$2:$J$89,"Minor gap")</f>
        <v>0</v>
      </c>
      <c r="F12" s="12" t="n">
        <f aca="false">COUNTIFS(Checklist!$N$2:$N$89,6,Checklist!$J$2:$J$89,"Major gap")</f>
        <v>0</v>
      </c>
      <c r="G12" s="12" t="n">
        <f aca="false">COUNTIFS(Checklist!$N$2:$N$89,6,Checklist!$J$2:$J$89,"Not applicable")</f>
        <v>0</v>
      </c>
      <c r="H12" s="12" t="n">
        <f aca="false">COUNTIFS(Checklist!$N$2:$N$89,6,Checklist!$J$2:$J$89,"Not assessed")</f>
        <v>5</v>
      </c>
      <c r="I12" s="13" t="str">
        <f aca="false">IF((C12-G12-H12)=0,"n/a",D12/(C12-G12-H12))</f>
        <v>n/a</v>
      </c>
    </row>
    <row r="13" customFormat="false" ht="15" hidden="false" customHeight="false" outlineLevel="0" collapsed="false">
      <c r="B13" s="11" t="s">
        <v>56</v>
      </c>
      <c r="C13" s="12" t="n">
        <f aca="false">COUNTIF(Checklist!$N$2:$N$89,7)</f>
        <v>15</v>
      </c>
      <c r="D13" s="12" t="n">
        <f aca="false">COUNTIFS(Checklist!$N$2:$N$89,7,Checklist!$J$2:$J$89,"Conforming")</f>
        <v>0</v>
      </c>
      <c r="E13" s="12" t="n">
        <f aca="false">COUNTIFS(Checklist!$N$2:$N$89,7,Checklist!$J$2:$J$89,"Minor gap")</f>
        <v>0</v>
      </c>
      <c r="F13" s="12" t="n">
        <f aca="false">COUNTIFS(Checklist!$N$2:$N$89,7,Checklist!$J$2:$J$89,"Major gap")</f>
        <v>0</v>
      </c>
      <c r="G13" s="12" t="n">
        <f aca="false">COUNTIFS(Checklist!$N$2:$N$89,7,Checklist!$J$2:$J$89,"Not applicable")</f>
        <v>0</v>
      </c>
      <c r="H13" s="12" t="n">
        <f aca="false">COUNTIFS(Checklist!$N$2:$N$89,7,Checklist!$J$2:$J$89,"Not assessed")</f>
        <v>15</v>
      </c>
      <c r="I13" s="13" t="str">
        <f aca="false">IF((C13-G13-H13)=0,"n/a",D13/(C13-G13-H13))</f>
        <v>n/a</v>
      </c>
    </row>
    <row r="14" customFormat="false" ht="15" hidden="false" customHeight="false" outlineLevel="0" collapsed="false">
      <c r="B14" s="11" t="s">
        <v>57</v>
      </c>
      <c r="C14" s="12" t="n">
        <f aca="false">COUNTIF(Checklist!$N$2:$N$89,8)</f>
        <v>46</v>
      </c>
      <c r="D14" s="12" t="n">
        <f aca="false">COUNTIFS(Checklist!$N$2:$N$89,8,Checklist!$J$2:$J$89,"Conforming")</f>
        <v>0</v>
      </c>
      <c r="E14" s="12" t="n">
        <f aca="false">COUNTIFS(Checklist!$N$2:$N$89,8,Checklist!$J$2:$J$89,"Minor gap")</f>
        <v>0</v>
      </c>
      <c r="F14" s="12" t="n">
        <f aca="false">COUNTIFS(Checklist!$N$2:$N$89,8,Checklist!$J$2:$J$89,"Major gap")</f>
        <v>0</v>
      </c>
      <c r="G14" s="12" t="n">
        <f aca="false">COUNTIFS(Checklist!$N$2:$N$89,8,Checklist!$J$2:$J$89,"Not applicable")</f>
        <v>0</v>
      </c>
      <c r="H14" s="12" t="n">
        <f aca="false">COUNTIFS(Checklist!$N$2:$N$89,8,Checklist!$J$2:$J$89,"Not assessed")</f>
        <v>46</v>
      </c>
      <c r="I14" s="13" t="str">
        <f aca="false">IF((C14-G14-H14)=0,"n/a",D14/(C14-G14-H14))</f>
        <v>n/a</v>
      </c>
    </row>
    <row r="15" customFormat="false" ht="15" hidden="false" customHeight="false" outlineLevel="0" collapsed="false">
      <c r="B15" s="11" t="s">
        <v>58</v>
      </c>
      <c r="C15" s="12" t="n">
        <f aca="false">COUNTIF(Checklist!$N$2:$N$89,9)</f>
        <v>7</v>
      </c>
      <c r="D15" s="12" t="n">
        <f aca="false">COUNTIFS(Checklist!$N$2:$N$89,9,Checklist!$J$2:$J$89,"Conforming")</f>
        <v>0</v>
      </c>
      <c r="E15" s="12" t="n">
        <f aca="false">COUNTIFS(Checklist!$N$2:$N$89,9,Checklist!$J$2:$J$89,"Minor gap")</f>
        <v>0</v>
      </c>
      <c r="F15" s="12" t="n">
        <f aca="false">COUNTIFS(Checklist!$N$2:$N$89,9,Checklist!$J$2:$J$89,"Major gap")</f>
        <v>0</v>
      </c>
      <c r="G15" s="12" t="n">
        <f aca="false">COUNTIFS(Checklist!$N$2:$N$89,9,Checklist!$J$2:$J$89,"Not applicable")</f>
        <v>0</v>
      </c>
      <c r="H15" s="12" t="n">
        <f aca="false">COUNTIFS(Checklist!$N$2:$N$89,9,Checklist!$J$2:$J$89,"Not assessed")</f>
        <v>7</v>
      </c>
      <c r="I15" s="13" t="str">
        <f aca="false">IF((C15-G15-H15)=0,"n/a",D15/(C15-G15-H15))</f>
        <v>n/a</v>
      </c>
    </row>
    <row r="16" customFormat="false" ht="15" hidden="false" customHeight="false" outlineLevel="0" collapsed="false">
      <c r="B16" s="11" t="s">
        <v>59</v>
      </c>
      <c r="C16" s="12" t="n">
        <f aca="false">COUNTIF(Checklist!$N$2:$N$89,10)</f>
        <v>5</v>
      </c>
      <c r="D16" s="12" t="n">
        <f aca="false">COUNTIFS(Checklist!$N$2:$N$89,10,Checklist!$J$2:$J$89,"Conforming")</f>
        <v>0</v>
      </c>
      <c r="E16" s="12" t="n">
        <f aca="false">COUNTIFS(Checklist!$N$2:$N$89,10,Checklist!$J$2:$J$89,"Minor gap")</f>
        <v>0</v>
      </c>
      <c r="F16" s="12" t="n">
        <f aca="false">COUNTIFS(Checklist!$N$2:$N$89,10,Checklist!$J$2:$J$89,"Major gap")</f>
        <v>0</v>
      </c>
      <c r="G16" s="12" t="n">
        <f aca="false">COUNTIFS(Checklist!$N$2:$N$89,10,Checklist!$J$2:$J$89,"Not applicable")</f>
        <v>0</v>
      </c>
      <c r="H16" s="12" t="n">
        <f aca="false">COUNTIFS(Checklist!$N$2:$N$89,10,Checklist!$J$2:$J$89,"Not assessed")</f>
        <v>5</v>
      </c>
      <c r="I16" s="13" t="str">
        <f aca="false">IF((C16-G16-H16)=0,"n/a",D16/(C16-G16-H16))</f>
        <v>n/a</v>
      </c>
    </row>
    <row r="17" customFormat="false" ht="15" hidden="false" customHeight="false" outlineLevel="0" collapsed="false">
      <c r="B17" s="14" t="s">
        <v>60</v>
      </c>
      <c r="C17" s="15" t="n">
        <f aca="false">SUM(C10:C16)</f>
        <v>88</v>
      </c>
      <c r="D17" s="15" t="n">
        <f aca="false">SUM(D10:D16)</f>
        <v>0</v>
      </c>
      <c r="E17" s="15" t="n">
        <f aca="false">SUM(E10:E16)</f>
        <v>0</v>
      </c>
      <c r="F17" s="15" t="n">
        <f aca="false">SUM(F10:F16)</f>
        <v>0</v>
      </c>
      <c r="G17" s="15" t="n">
        <f aca="false">SUM(G10:G16)</f>
        <v>0</v>
      </c>
      <c r="H17" s="15" t="n">
        <f aca="false">SUM(H10:H16)</f>
        <v>88</v>
      </c>
      <c r="I17" s="16" t="str">
        <f aca="false">IF((C17-G17-H17)=0,"n/a",D17/(C17-G17-H17))</f>
        <v>n/a</v>
      </c>
    </row>
    <row r="19" customFormat="false" ht="15" hidden="false" customHeight="false" outlineLevel="0" collapsed="false">
      <c r="B19" s="8" t="s">
        <v>61</v>
      </c>
      <c r="C19" s="17" t="n">
        <f aca="false">IF(C17=0,0,(C17-H17)/C17)</f>
        <v>0</v>
      </c>
    </row>
    <row r="20" customFormat="false" ht="15" hidden="false" customHeight="false" outlineLevel="0" collapsed="false">
      <c r="B20" s="8" t="s">
        <v>62</v>
      </c>
      <c r="C20" s="18" t="n">
        <f aca="false">E17+F17</f>
        <v>0</v>
      </c>
    </row>
    <row r="21" customFormat="false" ht="15" hidden="false" customHeight="false" outlineLevel="0" collapsed="false">
      <c r="B21" s="8" t="s">
        <v>63</v>
      </c>
      <c r="C21" s="18" t="n">
        <f aca="false">F17</f>
        <v>0</v>
      </c>
    </row>
    <row r="23" customFormat="false" ht="15" hidden="false" customHeight="false" outlineLevel="0" collapsed="false">
      <c r="B23" s="3" t="s">
        <v>64</v>
      </c>
    </row>
    <row r="24" customFormat="false" ht="15" hidden="false" customHeight="false" outlineLevel="0" collapsed="false">
      <c r="B24" s="10" t="s">
        <v>65</v>
      </c>
      <c r="C24" s="10" t="s">
        <v>47</v>
      </c>
      <c r="D24" s="10" t="s">
        <v>48</v>
      </c>
      <c r="E24" s="10" t="s">
        <v>33</v>
      </c>
      <c r="F24" s="10" t="s">
        <v>49</v>
      </c>
      <c r="G24" s="10" t="s">
        <v>50</v>
      </c>
      <c r="H24" s="10" t="s">
        <v>51</v>
      </c>
      <c r="I24" s="10" t="s">
        <v>52</v>
      </c>
    </row>
    <row r="25" customFormat="false" ht="15" hidden="false" customHeight="false" outlineLevel="0" collapsed="false">
      <c r="B25" s="11" t="s">
        <v>66</v>
      </c>
      <c r="C25" s="12" t="n">
        <f aca="false">COUNTIF(Checklist!$C$2:$C$89,"ISO 9001 base")</f>
        <v>38</v>
      </c>
      <c r="D25" s="12" t="n">
        <f aca="false">COUNTIFS(Checklist!$C$2:$C$89,"ISO 9001 base",Checklist!$J$2:$J$89,"Conforming")</f>
        <v>0</v>
      </c>
      <c r="E25" s="12" t="n">
        <f aca="false">COUNTIFS(Checklist!$C$2:$C$89,"ISO 9001 base",Checklist!$J$2:$J$89,"Minor gap")</f>
        <v>0</v>
      </c>
      <c r="F25" s="12" t="n">
        <f aca="false">COUNTIFS(Checklist!$C$2:$C$89,"ISO 9001 base",Checklist!$J$2:$J$89,"Major gap")</f>
        <v>0</v>
      </c>
      <c r="G25" s="12" t="n">
        <f aca="false">COUNTIFS(Checklist!$C$2:$C$89,"ISO 9001 base",Checklist!$J$2:$J$89,"Not applicable")</f>
        <v>0</v>
      </c>
      <c r="H25" s="12" t="n">
        <f aca="false">COUNTIFS(Checklist!$C$2:$C$89,"ISO 9001 base",Checklist!$J$2:$J$89,"Not assessed")</f>
        <v>38</v>
      </c>
      <c r="I25" s="13" t="str">
        <f aca="false">IF((C25-G25-H25)=0,"n/a",D25/(C25-G25-H25))</f>
        <v>n/a</v>
      </c>
    </row>
    <row r="26" customFormat="false" ht="15" hidden="false" customHeight="false" outlineLevel="0" collapsed="false">
      <c r="B26" s="11" t="s">
        <v>67</v>
      </c>
      <c r="C26" s="12" t="n">
        <f aca="false">COUNTIF(Checklist!$C$2:$C$89,"AS9100D addition")</f>
        <v>21</v>
      </c>
      <c r="D26" s="12" t="n">
        <f aca="false">COUNTIFS(Checklist!$C$2:$C$89,"AS9100D addition",Checklist!$J$2:$J$89,"Conforming")</f>
        <v>0</v>
      </c>
      <c r="E26" s="12" t="n">
        <f aca="false">COUNTIFS(Checklist!$C$2:$C$89,"AS9100D addition",Checklist!$J$2:$J$89,"Minor gap")</f>
        <v>0</v>
      </c>
      <c r="F26" s="12" t="n">
        <f aca="false">COUNTIFS(Checklist!$C$2:$C$89,"AS9100D addition",Checklist!$J$2:$J$89,"Major gap")</f>
        <v>0</v>
      </c>
      <c r="G26" s="12" t="n">
        <f aca="false">COUNTIFS(Checklist!$C$2:$C$89,"AS9100D addition",Checklist!$J$2:$J$89,"Not applicable")</f>
        <v>0</v>
      </c>
      <c r="H26" s="12" t="n">
        <f aca="false">COUNTIFS(Checklist!$C$2:$C$89,"AS9100D addition",Checklist!$J$2:$J$89,"Not assessed")</f>
        <v>21</v>
      </c>
      <c r="I26" s="13" t="str">
        <f aca="false">IF((C26-G26-H26)=0,"n/a",D26/(C26-G26-H26))</f>
        <v>n/a</v>
      </c>
    </row>
    <row r="27" customFormat="false" ht="15" hidden="false" customHeight="false" outlineLevel="0" collapsed="false">
      <c r="B27" s="11" t="s">
        <v>68</v>
      </c>
      <c r="C27" s="12" t="n">
        <f aca="false">COUNTIF(Checklist!$C$2:$C$89,"Mixed")</f>
        <v>29</v>
      </c>
      <c r="D27" s="12" t="n">
        <f aca="false">COUNTIFS(Checklist!$C$2:$C$89,"Mixed",Checklist!$J$2:$J$89,"Conforming")</f>
        <v>0</v>
      </c>
      <c r="E27" s="12" t="n">
        <f aca="false">COUNTIFS(Checklist!$C$2:$C$89,"Mixed",Checklist!$J$2:$J$89,"Minor gap")</f>
        <v>0</v>
      </c>
      <c r="F27" s="12" t="n">
        <f aca="false">COUNTIFS(Checklist!$C$2:$C$89,"Mixed",Checklist!$J$2:$J$89,"Major gap")</f>
        <v>0</v>
      </c>
      <c r="G27" s="12" t="n">
        <f aca="false">COUNTIFS(Checklist!$C$2:$C$89,"Mixed",Checklist!$J$2:$J$89,"Not applicable")</f>
        <v>0</v>
      </c>
      <c r="H27" s="12" t="n">
        <f aca="false">COUNTIFS(Checklist!$C$2:$C$89,"Mixed",Checklist!$J$2:$J$89,"Not assessed")</f>
        <v>29</v>
      </c>
      <c r="I27" s="13" t="str">
        <f aca="false">IF((C27-G27-H27)=0,"n/a",D27/(C27-G27-H27))</f>
        <v>n/a</v>
      </c>
    </row>
    <row r="29" customFormat="false" ht="69.75" hidden="false" customHeight="true" outlineLevel="0" collapsed="false">
      <c r="B29" s="19" t="s">
        <v>69</v>
      </c>
      <c r="C29" s="20" t="s">
        <v>70</v>
      </c>
      <c r="D29" s="20"/>
      <c r="E29" s="20"/>
      <c r="F29" s="20"/>
      <c r="G29" s="20"/>
      <c r="H29" s="20"/>
      <c r="I29" s="20"/>
    </row>
    <row r="31" customFormat="false" ht="15" hidden="false" customHeight="false" outlineLevel="0" collapsed="false">
      <c r="B31" s="7" t="s">
        <v>40</v>
      </c>
    </row>
  </sheetData>
  <sheetProtection sheet="true" formatColumns="false" formatRows="false" sort="false" autoFilter="false"/>
  <mergeCells count="5">
    <mergeCell ref="C4:F4"/>
    <mergeCell ref="C5:F5"/>
    <mergeCell ref="C6:F6"/>
    <mergeCell ref="C7:F7"/>
    <mergeCell ref="C29:I29"/>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 2026 Cristian La Bella Consulting. All rights reserved. | cristianlabella.com</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8"/>
    <col collapsed="false" customWidth="true" hidden="false" outlineLevel="0" max="3" min="3" style="0" width="15"/>
    <col collapsed="false" customWidth="true" hidden="false" outlineLevel="0" max="4" min="4" style="0" width="46"/>
    <col collapsed="false" customWidth="true" hidden="false" outlineLevel="0" max="5" min="5" style="0" width="38"/>
    <col collapsed="false" customWidth="true" hidden="false" outlineLevel="0" max="7" min="6" style="0" width="40"/>
    <col collapsed="false" customWidth="true" hidden="false" outlineLevel="0" max="8" min="8" style="0" width="34"/>
    <col collapsed="false" customWidth="true" hidden="false" outlineLevel="0" max="9" min="9" style="0" width="12"/>
    <col collapsed="false" customWidth="true" hidden="false" outlineLevel="0" max="10" min="10" style="0" width="15"/>
    <col collapsed="false" customWidth="true" hidden="false" outlineLevel="0" max="11" min="11" style="0" width="40"/>
    <col collapsed="false" customWidth="true" hidden="false" outlineLevel="0" max="12" min="12" style="0" width="16"/>
    <col collapsed="false" customWidth="true" hidden="false" outlineLevel="0" max="13" min="13" style="0" width="13"/>
    <col collapsed="false" customWidth="true" hidden="true" outlineLevel="0" max="14" min="14" style="0" width="8"/>
  </cols>
  <sheetData>
    <row r="1" customFormat="false" ht="31.5" hidden="false" customHeight="true" outlineLevel="0" collapsed="false">
      <c r="A1" s="10" t="s">
        <v>46</v>
      </c>
      <c r="B1" s="10" t="s">
        <v>71</v>
      </c>
      <c r="C1" s="10" t="s">
        <v>65</v>
      </c>
      <c r="D1" s="10" t="s">
        <v>72</v>
      </c>
      <c r="E1" s="10" t="s">
        <v>73</v>
      </c>
      <c r="F1" s="10" t="s">
        <v>74</v>
      </c>
      <c r="G1" s="10" t="s">
        <v>75</v>
      </c>
      <c r="H1" s="10" t="s">
        <v>76</v>
      </c>
      <c r="I1" s="10" t="s">
        <v>19</v>
      </c>
      <c r="J1" s="10" t="s">
        <v>32</v>
      </c>
      <c r="K1" s="10" t="s">
        <v>34</v>
      </c>
      <c r="L1" s="10" t="s">
        <v>36</v>
      </c>
      <c r="M1" s="10" t="s">
        <v>38</v>
      </c>
      <c r="N1" s="10" t="s">
        <v>77</v>
      </c>
    </row>
    <row r="2" customFormat="false" ht="60" hidden="false" customHeight="true" outlineLevel="0" collapsed="false">
      <c r="A2" s="21" t="s">
        <v>78</v>
      </c>
      <c r="B2" s="21" t="s">
        <v>79</v>
      </c>
      <c r="C2" s="22" t="s">
        <v>66</v>
      </c>
      <c r="D2" s="23" t="s">
        <v>80</v>
      </c>
      <c r="E2" s="23" t="s">
        <v>81</v>
      </c>
      <c r="F2" s="23" t="s">
        <v>82</v>
      </c>
      <c r="G2" s="23" t="s">
        <v>83</v>
      </c>
      <c r="H2" s="23" t="s">
        <v>84</v>
      </c>
      <c r="I2" s="22"/>
      <c r="J2" s="24" t="s">
        <v>51</v>
      </c>
      <c r="K2" s="24"/>
      <c r="L2" s="24"/>
      <c r="M2" s="25"/>
      <c r="N2" s="23" t="n">
        <f aca="false">VALUE(LEFT(A2,FIND(".",A2)-1))</f>
        <v>4</v>
      </c>
    </row>
    <row r="3" customFormat="false" ht="60" hidden="false" customHeight="true" outlineLevel="0" collapsed="false">
      <c r="A3" s="21" t="s">
        <v>85</v>
      </c>
      <c r="B3" s="21" t="s">
        <v>86</v>
      </c>
      <c r="C3" s="22" t="s">
        <v>66</v>
      </c>
      <c r="D3" s="23" t="s">
        <v>87</v>
      </c>
      <c r="E3" s="23" t="s">
        <v>88</v>
      </c>
      <c r="F3" s="23" t="s">
        <v>89</v>
      </c>
      <c r="G3" s="23" t="s">
        <v>90</v>
      </c>
      <c r="H3" s="23" t="s">
        <v>91</v>
      </c>
      <c r="I3" s="22"/>
      <c r="J3" s="24" t="s">
        <v>51</v>
      </c>
      <c r="K3" s="24"/>
      <c r="L3" s="24"/>
      <c r="M3" s="25"/>
      <c r="N3" s="23" t="n">
        <f aca="false">VALUE(LEFT(A3,FIND(".",A3)-1))</f>
        <v>4</v>
      </c>
    </row>
    <row r="4" customFormat="false" ht="72.75" hidden="false" customHeight="true" outlineLevel="0" collapsed="false">
      <c r="A4" s="21" t="s">
        <v>92</v>
      </c>
      <c r="B4" s="21" t="s">
        <v>93</v>
      </c>
      <c r="C4" s="22" t="s">
        <v>66</v>
      </c>
      <c r="D4" s="23" t="s">
        <v>94</v>
      </c>
      <c r="E4" s="23" t="s">
        <v>95</v>
      </c>
      <c r="F4" s="23" t="s">
        <v>96</v>
      </c>
      <c r="G4" s="23" t="s">
        <v>97</v>
      </c>
      <c r="H4" s="23" t="s">
        <v>98</v>
      </c>
      <c r="I4" s="22"/>
      <c r="J4" s="24" t="s">
        <v>51</v>
      </c>
      <c r="K4" s="24"/>
      <c r="L4" s="24"/>
      <c r="M4" s="25"/>
      <c r="N4" s="23" t="n">
        <f aca="false">VALUE(LEFT(A4,FIND(".",A4)-1))</f>
        <v>4</v>
      </c>
    </row>
    <row r="5" customFormat="false" ht="72.75" hidden="false" customHeight="true" outlineLevel="0" collapsed="false">
      <c r="A5" s="21" t="s">
        <v>99</v>
      </c>
      <c r="B5" s="21" t="s">
        <v>100</v>
      </c>
      <c r="C5" s="22" t="s">
        <v>68</v>
      </c>
      <c r="D5" s="23" t="s">
        <v>101</v>
      </c>
      <c r="E5" s="23" t="s">
        <v>102</v>
      </c>
      <c r="F5" s="23" t="s">
        <v>103</v>
      </c>
      <c r="G5" s="23" t="s">
        <v>104</v>
      </c>
      <c r="H5" s="23" t="s">
        <v>105</v>
      </c>
      <c r="I5" s="22" t="s">
        <v>106</v>
      </c>
      <c r="J5" s="24" t="s">
        <v>51</v>
      </c>
      <c r="K5" s="24"/>
      <c r="L5" s="24"/>
      <c r="M5" s="25"/>
      <c r="N5" s="23" t="n">
        <f aca="false">VALUE(LEFT(A5,FIND(".",A5)-1))</f>
        <v>4</v>
      </c>
    </row>
    <row r="6" customFormat="false" ht="72.75" hidden="false" customHeight="true" outlineLevel="0" collapsed="false">
      <c r="A6" s="21" t="s">
        <v>107</v>
      </c>
      <c r="B6" s="21" t="s">
        <v>108</v>
      </c>
      <c r="C6" s="22" t="s">
        <v>68</v>
      </c>
      <c r="D6" s="23" t="s">
        <v>109</v>
      </c>
      <c r="E6" s="23" t="s">
        <v>110</v>
      </c>
      <c r="F6" s="23" t="s">
        <v>111</v>
      </c>
      <c r="G6" s="23" t="s">
        <v>112</v>
      </c>
      <c r="H6" s="23" t="s">
        <v>113</v>
      </c>
      <c r="I6" s="22" t="s">
        <v>106</v>
      </c>
      <c r="J6" s="24" t="s">
        <v>51</v>
      </c>
      <c r="K6" s="24"/>
      <c r="L6" s="24"/>
      <c r="M6" s="25"/>
      <c r="N6" s="23" t="n">
        <f aca="false">VALUE(LEFT(A6,FIND(".",A6)-1))</f>
        <v>4</v>
      </c>
    </row>
    <row r="7" customFormat="false" ht="72.75" hidden="false" customHeight="true" outlineLevel="0" collapsed="false">
      <c r="A7" s="21" t="s">
        <v>114</v>
      </c>
      <c r="B7" s="21" t="s">
        <v>115</v>
      </c>
      <c r="C7" s="22" t="s">
        <v>66</v>
      </c>
      <c r="D7" s="23" t="s">
        <v>116</v>
      </c>
      <c r="E7" s="23" t="s">
        <v>117</v>
      </c>
      <c r="F7" s="23" t="s">
        <v>118</v>
      </c>
      <c r="G7" s="23" t="s">
        <v>119</v>
      </c>
      <c r="H7" s="23" t="s">
        <v>120</v>
      </c>
      <c r="I7" s="22"/>
      <c r="J7" s="24" t="s">
        <v>51</v>
      </c>
      <c r="K7" s="24"/>
      <c r="L7" s="24"/>
      <c r="M7" s="25"/>
      <c r="N7" s="23" t="n">
        <f aca="false">VALUE(LEFT(A7,FIND(".",A7)-1))</f>
        <v>5</v>
      </c>
    </row>
    <row r="8" customFormat="false" ht="72.75" hidden="false" customHeight="true" outlineLevel="0" collapsed="false">
      <c r="A8" s="21" t="s">
        <v>121</v>
      </c>
      <c r="B8" s="21" t="s">
        <v>122</v>
      </c>
      <c r="C8" s="22" t="s">
        <v>68</v>
      </c>
      <c r="D8" s="23" t="s">
        <v>123</v>
      </c>
      <c r="E8" s="23" t="s">
        <v>124</v>
      </c>
      <c r="F8" s="23" t="s">
        <v>125</v>
      </c>
      <c r="G8" s="23" t="s">
        <v>126</v>
      </c>
      <c r="H8" s="23" t="s">
        <v>127</v>
      </c>
      <c r="I8" s="22"/>
      <c r="J8" s="24" t="s">
        <v>51</v>
      </c>
      <c r="K8" s="24"/>
      <c r="L8" s="24"/>
      <c r="M8" s="25"/>
      <c r="N8" s="23" t="n">
        <f aca="false">VALUE(LEFT(A8,FIND(".",A8)-1))</f>
        <v>5</v>
      </c>
    </row>
    <row r="9" customFormat="false" ht="60" hidden="false" customHeight="true" outlineLevel="0" collapsed="false">
      <c r="A9" s="21" t="s">
        <v>128</v>
      </c>
      <c r="B9" s="21" t="s">
        <v>129</v>
      </c>
      <c r="C9" s="22" t="s">
        <v>66</v>
      </c>
      <c r="D9" s="23" t="s">
        <v>130</v>
      </c>
      <c r="E9" s="23" t="s">
        <v>131</v>
      </c>
      <c r="F9" s="23" t="s">
        <v>132</v>
      </c>
      <c r="G9" s="23" t="s">
        <v>133</v>
      </c>
      <c r="H9" s="23" t="s">
        <v>134</v>
      </c>
      <c r="I9" s="22"/>
      <c r="J9" s="24" t="s">
        <v>51</v>
      </c>
      <c r="K9" s="24"/>
      <c r="L9" s="24"/>
      <c r="M9" s="25"/>
      <c r="N9" s="23" t="n">
        <f aca="false">VALUE(LEFT(A9,FIND(".",A9)-1))</f>
        <v>5</v>
      </c>
    </row>
    <row r="10" customFormat="false" ht="72.75" hidden="false" customHeight="true" outlineLevel="0" collapsed="false">
      <c r="A10" s="21" t="s">
        <v>135</v>
      </c>
      <c r="B10" s="21" t="s">
        <v>136</v>
      </c>
      <c r="C10" s="22" t="s">
        <v>66</v>
      </c>
      <c r="D10" s="23" t="s">
        <v>137</v>
      </c>
      <c r="E10" s="23" t="s">
        <v>138</v>
      </c>
      <c r="F10" s="23" t="s">
        <v>139</v>
      </c>
      <c r="G10" s="23" t="s">
        <v>140</v>
      </c>
      <c r="H10" s="23" t="s">
        <v>141</v>
      </c>
      <c r="I10" s="22"/>
      <c r="J10" s="24" t="s">
        <v>51</v>
      </c>
      <c r="K10" s="24"/>
      <c r="L10" s="24"/>
      <c r="M10" s="25"/>
      <c r="N10" s="23" t="n">
        <f aca="false">VALUE(LEFT(A10,FIND(".",A10)-1))</f>
        <v>5</v>
      </c>
    </row>
    <row r="11" customFormat="false" ht="60" hidden="false" customHeight="true" outlineLevel="0" collapsed="false">
      <c r="A11" s="21" t="s">
        <v>142</v>
      </c>
      <c r="B11" s="21" t="s">
        <v>143</v>
      </c>
      <c r="C11" s="22" t="s">
        <v>67</v>
      </c>
      <c r="D11" s="23" t="s">
        <v>144</v>
      </c>
      <c r="E11" s="23" t="s">
        <v>145</v>
      </c>
      <c r="F11" s="23" t="s">
        <v>146</v>
      </c>
      <c r="G11" s="23" t="s">
        <v>147</v>
      </c>
      <c r="H11" s="23" t="s">
        <v>148</v>
      </c>
      <c r="I11" s="22"/>
      <c r="J11" s="24" t="s">
        <v>51</v>
      </c>
      <c r="K11" s="24"/>
      <c r="L11" s="24"/>
      <c r="M11" s="25"/>
      <c r="N11" s="23" t="n">
        <f aca="false">VALUE(LEFT(A11,FIND(".",A11)-1))</f>
        <v>5</v>
      </c>
    </row>
    <row r="12" customFormat="false" ht="72.75" hidden="false" customHeight="true" outlineLevel="0" collapsed="false">
      <c r="A12" s="21" t="s">
        <v>149</v>
      </c>
      <c r="B12" s="21" t="s">
        <v>150</v>
      </c>
      <c r="C12" s="22" t="s">
        <v>66</v>
      </c>
      <c r="D12" s="23" t="s">
        <v>151</v>
      </c>
      <c r="E12" s="23" t="s">
        <v>152</v>
      </c>
      <c r="F12" s="23" t="s">
        <v>153</v>
      </c>
      <c r="G12" s="23" t="s">
        <v>154</v>
      </c>
      <c r="H12" s="23" t="s">
        <v>155</v>
      </c>
      <c r="I12" s="22"/>
      <c r="J12" s="24" t="s">
        <v>51</v>
      </c>
      <c r="K12" s="24"/>
      <c r="L12" s="24"/>
      <c r="M12" s="25"/>
      <c r="N12" s="23" t="n">
        <f aca="false">VALUE(LEFT(A12,FIND(".",A12)-1))</f>
        <v>6</v>
      </c>
    </row>
    <row r="13" customFormat="false" ht="72.75" hidden="false" customHeight="true" outlineLevel="0" collapsed="false">
      <c r="A13" s="21" t="s">
        <v>156</v>
      </c>
      <c r="B13" s="21" t="s">
        <v>157</v>
      </c>
      <c r="C13" s="22" t="s">
        <v>66</v>
      </c>
      <c r="D13" s="23" t="s">
        <v>158</v>
      </c>
      <c r="E13" s="23" t="s">
        <v>159</v>
      </c>
      <c r="F13" s="23" t="s">
        <v>160</v>
      </c>
      <c r="G13" s="23" t="s">
        <v>161</v>
      </c>
      <c r="H13" s="23" t="s">
        <v>162</v>
      </c>
      <c r="I13" s="22"/>
      <c r="J13" s="24" t="s">
        <v>51</v>
      </c>
      <c r="K13" s="24"/>
      <c r="L13" s="24"/>
      <c r="M13" s="25"/>
      <c r="N13" s="23" t="n">
        <f aca="false">VALUE(LEFT(A13,FIND(".",A13)-1))</f>
        <v>6</v>
      </c>
    </row>
    <row r="14" customFormat="false" ht="72.75" hidden="false" customHeight="true" outlineLevel="0" collapsed="false">
      <c r="A14" s="21" t="s">
        <v>163</v>
      </c>
      <c r="B14" s="21" t="s">
        <v>164</v>
      </c>
      <c r="C14" s="22" t="s">
        <v>66</v>
      </c>
      <c r="D14" s="23" t="s">
        <v>165</v>
      </c>
      <c r="E14" s="23" t="s">
        <v>166</v>
      </c>
      <c r="F14" s="23" t="s">
        <v>167</v>
      </c>
      <c r="G14" s="23" t="s">
        <v>168</v>
      </c>
      <c r="H14" s="23" t="s">
        <v>169</v>
      </c>
      <c r="I14" s="22"/>
      <c r="J14" s="24" t="s">
        <v>51</v>
      </c>
      <c r="K14" s="24"/>
      <c r="L14" s="24"/>
      <c r="M14" s="25"/>
      <c r="N14" s="23" t="n">
        <f aca="false">VALUE(LEFT(A14,FIND(".",A14)-1))</f>
        <v>6</v>
      </c>
    </row>
    <row r="15" customFormat="false" ht="46.5" hidden="false" customHeight="true" outlineLevel="0" collapsed="false">
      <c r="A15" s="21" t="s">
        <v>170</v>
      </c>
      <c r="B15" s="21" t="s">
        <v>171</v>
      </c>
      <c r="C15" s="22" t="s">
        <v>66</v>
      </c>
      <c r="D15" s="23" t="s">
        <v>172</v>
      </c>
      <c r="E15" s="23" t="s">
        <v>173</v>
      </c>
      <c r="F15" s="23" t="s">
        <v>174</v>
      </c>
      <c r="G15" s="23" t="s">
        <v>175</v>
      </c>
      <c r="H15" s="23" t="s">
        <v>176</v>
      </c>
      <c r="I15" s="22"/>
      <c r="J15" s="24" t="s">
        <v>51</v>
      </c>
      <c r="K15" s="24"/>
      <c r="L15" s="24"/>
      <c r="M15" s="25"/>
      <c r="N15" s="23" t="n">
        <f aca="false">VALUE(LEFT(A15,FIND(".",A15)-1))</f>
        <v>6</v>
      </c>
    </row>
    <row r="16" customFormat="false" ht="60" hidden="false" customHeight="true" outlineLevel="0" collapsed="false">
      <c r="A16" s="21" t="s">
        <v>177</v>
      </c>
      <c r="B16" s="21" t="s">
        <v>178</v>
      </c>
      <c r="C16" s="22" t="s">
        <v>66</v>
      </c>
      <c r="D16" s="23" t="s">
        <v>179</v>
      </c>
      <c r="E16" s="23" t="s">
        <v>180</v>
      </c>
      <c r="F16" s="23" t="s">
        <v>181</v>
      </c>
      <c r="G16" s="23" t="s">
        <v>182</v>
      </c>
      <c r="H16" s="23" t="s">
        <v>183</v>
      </c>
      <c r="I16" s="22"/>
      <c r="J16" s="24" t="s">
        <v>51</v>
      </c>
      <c r="K16" s="24"/>
      <c r="L16" s="24"/>
      <c r="M16" s="25"/>
      <c r="N16" s="23" t="n">
        <f aca="false">VALUE(LEFT(A16,FIND(".",A16)-1))</f>
        <v>6</v>
      </c>
    </row>
    <row r="17" customFormat="false" ht="46.5" hidden="false" customHeight="true" outlineLevel="0" collapsed="false">
      <c r="A17" s="21" t="s">
        <v>184</v>
      </c>
      <c r="B17" s="21" t="s">
        <v>185</v>
      </c>
      <c r="C17" s="22" t="s">
        <v>66</v>
      </c>
      <c r="D17" s="23" t="s">
        <v>186</v>
      </c>
      <c r="E17" s="23" t="s">
        <v>187</v>
      </c>
      <c r="F17" s="23" t="s">
        <v>188</v>
      </c>
      <c r="G17" s="23" t="s">
        <v>189</v>
      </c>
      <c r="H17" s="23" t="s">
        <v>190</v>
      </c>
      <c r="I17" s="22"/>
      <c r="J17" s="24" t="s">
        <v>51</v>
      </c>
      <c r="K17" s="24"/>
      <c r="L17" s="24"/>
      <c r="M17" s="25"/>
      <c r="N17" s="23" t="n">
        <f aca="false">VALUE(LEFT(A17,FIND(".",A17)-1))</f>
        <v>7</v>
      </c>
    </row>
    <row r="18" customFormat="false" ht="46.5" hidden="false" customHeight="true" outlineLevel="0" collapsed="false">
      <c r="A18" s="21" t="s">
        <v>191</v>
      </c>
      <c r="B18" s="21" t="s">
        <v>192</v>
      </c>
      <c r="C18" s="22" t="s">
        <v>66</v>
      </c>
      <c r="D18" s="23" t="s">
        <v>193</v>
      </c>
      <c r="E18" s="23" t="s">
        <v>194</v>
      </c>
      <c r="F18" s="23" t="s">
        <v>195</v>
      </c>
      <c r="G18" s="23" t="s">
        <v>196</v>
      </c>
      <c r="H18" s="23" t="s">
        <v>197</v>
      </c>
      <c r="I18" s="22"/>
      <c r="J18" s="24" t="s">
        <v>51</v>
      </c>
      <c r="K18" s="24"/>
      <c r="L18" s="24"/>
      <c r="M18" s="25"/>
      <c r="N18" s="23" t="n">
        <f aca="false">VALUE(LEFT(A18,FIND(".",A18)-1))</f>
        <v>7</v>
      </c>
    </row>
    <row r="19" customFormat="false" ht="60" hidden="false" customHeight="true" outlineLevel="0" collapsed="false">
      <c r="A19" s="21" t="s">
        <v>198</v>
      </c>
      <c r="B19" s="21" t="s">
        <v>199</v>
      </c>
      <c r="C19" s="22" t="s">
        <v>66</v>
      </c>
      <c r="D19" s="23" t="s">
        <v>200</v>
      </c>
      <c r="E19" s="23" t="s">
        <v>201</v>
      </c>
      <c r="F19" s="23" t="s">
        <v>202</v>
      </c>
      <c r="G19" s="23" t="s">
        <v>203</v>
      </c>
      <c r="H19" s="23" t="s">
        <v>204</v>
      </c>
      <c r="I19" s="22"/>
      <c r="J19" s="24" t="s">
        <v>51</v>
      </c>
      <c r="K19" s="24"/>
      <c r="L19" s="24"/>
      <c r="M19" s="25"/>
      <c r="N19" s="23" t="n">
        <f aca="false">VALUE(LEFT(A19,FIND(".",A19)-1))</f>
        <v>7</v>
      </c>
    </row>
    <row r="20" customFormat="false" ht="60" hidden="false" customHeight="true" outlineLevel="0" collapsed="false">
      <c r="A20" s="21" t="s">
        <v>205</v>
      </c>
      <c r="B20" s="21" t="s">
        <v>206</v>
      </c>
      <c r="C20" s="22" t="s">
        <v>66</v>
      </c>
      <c r="D20" s="23" t="s">
        <v>207</v>
      </c>
      <c r="E20" s="23" t="s">
        <v>208</v>
      </c>
      <c r="F20" s="23" t="s">
        <v>209</v>
      </c>
      <c r="G20" s="23" t="s">
        <v>210</v>
      </c>
      <c r="H20" s="23" t="s">
        <v>211</v>
      </c>
      <c r="I20" s="22"/>
      <c r="J20" s="24" t="s">
        <v>51</v>
      </c>
      <c r="K20" s="24"/>
      <c r="L20" s="24"/>
      <c r="M20" s="25"/>
      <c r="N20" s="23" t="n">
        <f aca="false">VALUE(LEFT(A20,FIND(".",A20)-1))</f>
        <v>7</v>
      </c>
    </row>
    <row r="21" customFormat="false" ht="60" hidden="false" customHeight="true" outlineLevel="0" collapsed="false">
      <c r="A21" s="21" t="s">
        <v>212</v>
      </c>
      <c r="B21" s="21" t="s">
        <v>213</v>
      </c>
      <c r="C21" s="22" t="s">
        <v>66</v>
      </c>
      <c r="D21" s="23" t="s">
        <v>214</v>
      </c>
      <c r="E21" s="23" t="s">
        <v>215</v>
      </c>
      <c r="F21" s="23" t="s">
        <v>216</v>
      </c>
      <c r="G21" s="23" t="s">
        <v>217</v>
      </c>
      <c r="H21" s="23" t="s">
        <v>218</v>
      </c>
      <c r="I21" s="22"/>
      <c r="J21" s="24" t="s">
        <v>51</v>
      </c>
      <c r="K21" s="24"/>
      <c r="L21" s="24"/>
      <c r="M21" s="25"/>
      <c r="N21" s="23" t="n">
        <f aca="false">VALUE(LEFT(A21,FIND(".",A21)-1))</f>
        <v>7</v>
      </c>
    </row>
    <row r="22" customFormat="false" ht="72.75" hidden="false" customHeight="true" outlineLevel="0" collapsed="false">
      <c r="A22" s="21" t="s">
        <v>219</v>
      </c>
      <c r="B22" s="21" t="s">
        <v>220</v>
      </c>
      <c r="C22" s="22" t="s">
        <v>66</v>
      </c>
      <c r="D22" s="23" t="s">
        <v>221</v>
      </c>
      <c r="E22" s="23" t="s">
        <v>222</v>
      </c>
      <c r="F22" s="23" t="s">
        <v>223</v>
      </c>
      <c r="G22" s="23" t="s">
        <v>224</v>
      </c>
      <c r="H22" s="23" t="s">
        <v>225</v>
      </c>
      <c r="I22" s="22"/>
      <c r="J22" s="24" t="s">
        <v>51</v>
      </c>
      <c r="K22" s="24"/>
      <c r="L22" s="24"/>
      <c r="M22" s="25"/>
      <c r="N22" s="23" t="n">
        <f aca="false">VALUE(LEFT(A22,FIND(".",A22)-1))</f>
        <v>7</v>
      </c>
    </row>
    <row r="23" customFormat="false" ht="99" hidden="false" customHeight="true" outlineLevel="0" collapsed="false">
      <c r="A23" s="21" t="s">
        <v>226</v>
      </c>
      <c r="B23" s="21" t="s">
        <v>227</v>
      </c>
      <c r="C23" s="22" t="s">
        <v>67</v>
      </c>
      <c r="D23" s="23" t="s">
        <v>228</v>
      </c>
      <c r="E23" s="23" t="s">
        <v>229</v>
      </c>
      <c r="F23" s="23" t="s">
        <v>230</v>
      </c>
      <c r="G23" s="23" t="s">
        <v>231</v>
      </c>
      <c r="H23" s="23" t="s">
        <v>232</v>
      </c>
      <c r="I23" s="22"/>
      <c r="J23" s="24" t="s">
        <v>51</v>
      </c>
      <c r="K23" s="24"/>
      <c r="L23" s="24"/>
      <c r="M23" s="25"/>
      <c r="N23" s="23" t="n">
        <f aca="false">VALUE(LEFT(A23,FIND(".",A23)-1))</f>
        <v>7</v>
      </c>
    </row>
    <row r="24" customFormat="false" ht="60" hidden="false" customHeight="true" outlineLevel="0" collapsed="false">
      <c r="A24" s="21" t="s">
        <v>233</v>
      </c>
      <c r="B24" s="21" t="s">
        <v>234</v>
      </c>
      <c r="C24" s="22" t="s">
        <v>68</v>
      </c>
      <c r="D24" s="23" t="s">
        <v>235</v>
      </c>
      <c r="E24" s="23" t="s">
        <v>236</v>
      </c>
      <c r="F24" s="23" t="s">
        <v>237</v>
      </c>
      <c r="G24" s="23" t="s">
        <v>238</v>
      </c>
      <c r="H24" s="23" t="s">
        <v>239</v>
      </c>
      <c r="I24" s="22"/>
      <c r="J24" s="24" t="s">
        <v>51</v>
      </c>
      <c r="K24" s="24"/>
      <c r="L24" s="24"/>
      <c r="M24" s="25"/>
      <c r="N24" s="23" t="n">
        <f aca="false">VALUE(LEFT(A24,FIND(".",A24)-1))</f>
        <v>7</v>
      </c>
    </row>
    <row r="25" customFormat="false" ht="60" hidden="false" customHeight="true" outlineLevel="0" collapsed="false">
      <c r="A25" s="21" t="s">
        <v>240</v>
      </c>
      <c r="B25" s="21" t="s">
        <v>241</v>
      </c>
      <c r="C25" s="22" t="s">
        <v>66</v>
      </c>
      <c r="D25" s="23" t="s">
        <v>242</v>
      </c>
      <c r="E25" s="23" t="s">
        <v>243</v>
      </c>
      <c r="F25" s="23" t="s">
        <v>244</v>
      </c>
      <c r="G25" s="23" t="s">
        <v>245</v>
      </c>
      <c r="H25" s="23" t="s">
        <v>246</v>
      </c>
      <c r="I25" s="22"/>
      <c r="J25" s="24" t="s">
        <v>51</v>
      </c>
      <c r="K25" s="24"/>
      <c r="L25" s="24"/>
      <c r="M25" s="25"/>
      <c r="N25" s="23" t="n">
        <f aca="false">VALUE(LEFT(A25,FIND(".",A25)-1))</f>
        <v>7</v>
      </c>
    </row>
    <row r="26" customFormat="false" ht="60" hidden="false" customHeight="true" outlineLevel="0" collapsed="false">
      <c r="A26" s="21" t="s">
        <v>247</v>
      </c>
      <c r="B26" s="21" t="s">
        <v>248</v>
      </c>
      <c r="C26" s="22" t="s">
        <v>66</v>
      </c>
      <c r="D26" s="23" t="s">
        <v>249</v>
      </c>
      <c r="E26" s="23" t="s">
        <v>250</v>
      </c>
      <c r="F26" s="23" t="s">
        <v>251</v>
      </c>
      <c r="G26" s="23" t="s">
        <v>252</v>
      </c>
      <c r="H26" s="23" t="s">
        <v>253</v>
      </c>
      <c r="I26" s="22"/>
      <c r="J26" s="24" t="s">
        <v>51</v>
      </c>
      <c r="K26" s="24"/>
      <c r="L26" s="24"/>
      <c r="M26" s="25"/>
      <c r="N26" s="23" t="n">
        <f aca="false">VALUE(LEFT(A26,FIND(".",A26)-1))</f>
        <v>7</v>
      </c>
    </row>
    <row r="27" customFormat="false" ht="72.75" hidden="false" customHeight="true" outlineLevel="0" collapsed="false">
      <c r="A27" s="21" t="s">
        <v>254</v>
      </c>
      <c r="B27" s="21" t="s">
        <v>255</v>
      </c>
      <c r="C27" s="22" t="s">
        <v>68</v>
      </c>
      <c r="D27" s="23" t="s">
        <v>256</v>
      </c>
      <c r="E27" s="23" t="s">
        <v>257</v>
      </c>
      <c r="F27" s="23" t="s">
        <v>258</v>
      </c>
      <c r="G27" s="23" t="s">
        <v>259</v>
      </c>
      <c r="H27" s="23" t="s">
        <v>260</v>
      </c>
      <c r="I27" s="22"/>
      <c r="J27" s="24" t="s">
        <v>51</v>
      </c>
      <c r="K27" s="24"/>
      <c r="L27" s="24"/>
      <c r="M27" s="25"/>
      <c r="N27" s="23" t="n">
        <f aca="false">VALUE(LEFT(A27,FIND(".",A27)-1))</f>
        <v>7</v>
      </c>
    </row>
    <row r="28" customFormat="false" ht="46.5" hidden="false" customHeight="true" outlineLevel="0" collapsed="false">
      <c r="A28" s="21" t="s">
        <v>261</v>
      </c>
      <c r="B28" s="21" t="s">
        <v>262</v>
      </c>
      <c r="C28" s="22" t="s">
        <v>66</v>
      </c>
      <c r="D28" s="23" t="s">
        <v>263</v>
      </c>
      <c r="E28" s="23" t="s">
        <v>264</v>
      </c>
      <c r="F28" s="23" t="s">
        <v>265</v>
      </c>
      <c r="G28" s="23" t="s">
        <v>266</v>
      </c>
      <c r="H28" s="23" t="s">
        <v>267</v>
      </c>
      <c r="I28" s="22"/>
      <c r="J28" s="24" t="s">
        <v>51</v>
      </c>
      <c r="K28" s="24"/>
      <c r="L28" s="24"/>
      <c r="M28" s="25"/>
      <c r="N28" s="23" t="n">
        <f aca="false">VALUE(LEFT(A28,FIND(".",A28)-1))</f>
        <v>7</v>
      </c>
    </row>
    <row r="29" customFormat="false" ht="60" hidden="false" customHeight="true" outlineLevel="0" collapsed="false">
      <c r="A29" s="21" t="s">
        <v>268</v>
      </c>
      <c r="B29" s="21" t="s">
        <v>269</v>
      </c>
      <c r="C29" s="22" t="s">
        <v>66</v>
      </c>
      <c r="D29" s="23" t="s">
        <v>270</v>
      </c>
      <c r="E29" s="23" t="s">
        <v>271</v>
      </c>
      <c r="F29" s="23" t="s">
        <v>272</v>
      </c>
      <c r="G29" s="23" t="s">
        <v>273</v>
      </c>
      <c r="H29" s="23" t="s">
        <v>274</v>
      </c>
      <c r="I29" s="22"/>
      <c r="J29" s="24" t="s">
        <v>51</v>
      </c>
      <c r="K29" s="24"/>
      <c r="L29" s="24"/>
      <c r="M29" s="25"/>
      <c r="N29" s="23" t="n">
        <f aca="false">VALUE(LEFT(A29,FIND(".",A29)-1))</f>
        <v>7</v>
      </c>
    </row>
    <row r="30" customFormat="false" ht="60" hidden="false" customHeight="true" outlineLevel="0" collapsed="false">
      <c r="A30" s="21" t="s">
        <v>275</v>
      </c>
      <c r="B30" s="21" t="s">
        <v>276</v>
      </c>
      <c r="C30" s="22" t="s">
        <v>66</v>
      </c>
      <c r="D30" s="23" t="s">
        <v>277</v>
      </c>
      <c r="E30" s="23" t="s">
        <v>278</v>
      </c>
      <c r="F30" s="23" t="s">
        <v>279</v>
      </c>
      <c r="G30" s="23" t="s">
        <v>280</v>
      </c>
      <c r="H30" s="23" t="s">
        <v>281</v>
      </c>
      <c r="I30" s="22"/>
      <c r="J30" s="24" t="s">
        <v>51</v>
      </c>
      <c r="K30" s="24"/>
      <c r="L30" s="24"/>
      <c r="M30" s="25"/>
      <c r="N30" s="23" t="n">
        <f aca="false">VALUE(LEFT(A30,FIND(".",A30)-1))</f>
        <v>7</v>
      </c>
    </row>
    <row r="31" customFormat="false" ht="72.75" hidden="false" customHeight="true" outlineLevel="0" collapsed="false">
      <c r="A31" s="21" t="s">
        <v>282</v>
      </c>
      <c r="B31" s="21" t="s">
        <v>283</v>
      </c>
      <c r="C31" s="22" t="s">
        <v>68</v>
      </c>
      <c r="D31" s="23" t="s">
        <v>284</v>
      </c>
      <c r="E31" s="23" t="s">
        <v>285</v>
      </c>
      <c r="F31" s="23" t="s">
        <v>286</v>
      </c>
      <c r="G31" s="23" t="s">
        <v>287</v>
      </c>
      <c r="H31" s="23" t="s">
        <v>288</v>
      </c>
      <c r="I31" s="22"/>
      <c r="J31" s="24" t="s">
        <v>51</v>
      </c>
      <c r="K31" s="24"/>
      <c r="L31" s="24"/>
      <c r="M31" s="25"/>
      <c r="N31" s="23" t="n">
        <f aca="false">VALUE(LEFT(A31,FIND(".",A31)-1))</f>
        <v>7</v>
      </c>
    </row>
    <row r="32" customFormat="false" ht="111.75" hidden="false" customHeight="true" outlineLevel="0" collapsed="false">
      <c r="A32" s="21" t="s">
        <v>289</v>
      </c>
      <c r="B32" s="21" t="s">
        <v>290</v>
      </c>
      <c r="C32" s="22" t="s">
        <v>68</v>
      </c>
      <c r="D32" s="23" t="s">
        <v>291</v>
      </c>
      <c r="E32" s="23" t="s">
        <v>292</v>
      </c>
      <c r="F32" s="23" t="s">
        <v>293</v>
      </c>
      <c r="G32" s="23" t="s">
        <v>294</v>
      </c>
      <c r="H32" s="23" t="s">
        <v>295</v>
      </c>
      <c r="I32" s="22"/>
      <c r="J32" s="24" t="s">
        <v>51</v>
      </c>
      <c r="K32" s="24"/>
      <c r="L32" s="24"/>
      <c r="M32" s="25"/>
      <c r="N32" s="23" t="n">
        <f aca="false">VALUE(LEFT(A32,FIND(".",A32)-1))</f>
        <v>8</v>
      </c>
    </row>
    <row r="33" customFormat="false" ht="72.75" hidden="false" customHeight="true" outlineLevel="0" collapsed="false">
      <c r="A33" s="21" t="s">
        <v>296</v>
      </c>
      <c r="B33" s="21" t="s">
        <v>297</v>
      </c>
      <c r="C33" s="22" t="s">
        <v>68</v>
      </c>
      <c r="D33" s="23" t="s">
        <v>298</v>
      </c>
      <c r="E33" s="23" t="s">
        <v>299</v>
      </c>
      <c r="F33" s="23" t="s">
        <v>300</v>
      </c>
      <c r="G33" s="23" t="s">
        <v>301</v>
      </c>
      <c r="H33" s="23" t="s">
        <v>302</v>
      </c>
      <c r="I33" s="22"/>
      <c r="J33" s="24" t="s">
        <v>51</v>
      </c>
      <c r="K33" s="24"/>
      <c r="L33" s="24"/>
      <c r="M33" s="25"/>
      <c r="N33" s="23" t="n">
        <f aca="false">VALUE(LEFT(A33,FIND(".",A33)-1))</f>
        <v>8</v>
      </c>
    </row>
    <row r="34" customFormat="false" ht="72.75" hidden="false" customHeight="true" outlineLevel="0" collapsed="false">
      <c r="A34" s="21" t="s">
        <v>303</v>
      </c>
      <c r="B34" s="21" t="s">
        <v>304</v>
      </c>
      <c r="C34" s="22" t="s">
        <v>67</v>
      </c>
      <c r="D34" s="23" t="s">
        <v>305</v>
      </c>
      <c r="E34" s="23" t="s">
        <v>306</v>
      </c>
      <c r="F34" s="23" t="s">
        <v>307</v>
      </c>
      <c r="G34" s="23" t="s">
        <v>308</v>
      </c>
      <c r="H34" s="23" t="s">
        <v>309</v>
      </c>
      <c r="I34" s="22" t="s">
        <v>310</v>
      </c>
      <c r="J34" s="24" t="s">
        <v>51</v>
      </c>
      <c r="K34" s="24"/>
      <c r="L34" s="24"/>
      <c r="M34" s="25"/>
      <c r="N34" s="23" t="n">
        <f aca="false">VALUE(LEFT(A34,FIND(".",A34)-1))</f>
        <v>8</v>
      </c>
    </row>
    <row r="35" customFormat="false" ht="72.75" hidden="false" customHeight="true" outlineLevel="0" collapsed="false">
      <c r="A35" s="21" t="s">
        <v>311</v>
      </c>
      <c r="B35" s="21" t="s">
        <v>312</v>
      </c>
      <c r="C35" s="22" t="s">
        <v>68</v>
      </c>
      <c r="D35" s="23" t="s">
        <v>313</v>
      </c>
      <c r="E35" s="23" t="s">
        <v>314</v>
      </c>
      <c r="F35" s="23" t="s">
        <v>315</v>
      </c>
      <c r="G35" s="23" t="s">
        <v>316</v>
      </c>
      <c r="H35" s="23" t="s">
        <v>317</v>
      </c>
      <c r="I35" s="22"/>
      <c r="J35" s="24" t="s">
        <v>51</v>
      </c>
      <c r="K35" s="24"/>
      <c r="L35" s="24"/>
      <c r="M35" s="25"/>
      <c r="N35" s="23" t="n">
        <f aca="false">VALUE(LEFT(A35,FIND(".",A35)-1))</f>
        <v>8</v>
      </c>
    </row>
    <row r="36" customFormat="false" ht="85.5" hidden="false" customHeight="true" outlineLevel="0" collapsed="false">
      <c r="A36" s="21" t="s">
        <v>318</v>
      </c>
      <c r="B36" s="21" t="s">
        <v>319</v>
      </c>
      <c r="C36" s="22" t="s">
        <v>67</v>
      </c>
      <c r="D36" s="23" t="s">
        <v>320</v>
      </c>
      <c r="E36" s="23" t="s">
        <v>321</v>
      </c>
      <c r="F36" s="23" t="s">
        <v>322</v>
      </c>
      <c r="G36" s="23" t="s">
        <v>323</v>
      </c>
      <c r="H36" s="23" t="s">
        <v>324</v>
      </c>
      <c r="I36" s="22"/>
      <c r="J36" s="24" t="s">
        <v>51</v>
      </c>
      <c r="K36" s="24"/>
      <c r="L36" s="24"/>
      <c r="M36" s="25"/>
      <c r="N36" s="23" t="n">
        <f aca="false">VALUE(LEFT(A36,FIND(".",A36)-1))</f>
        <v>8</v>
      </c>
    </row>
    <row r="37" customFormat="false" ht="46.5" hidden="false" customHeight="true" outlineLevel="0" collapsed="false">
      <c r="A37" s="21" t="s">
        <v>325</v>
      </c>
      <c r="B37" s="21" t="s">
        <v>326</v>
      </c>
      <c r="C37" s="22" t="s">
        <v>66</v>
      </c>
      <c r="D37" s="23" t="s">
        <v>327</v>
      </c>
      <c r="E37" s="23" t="s">
        <v>328</v>
      </c>
      <c r="F37" s="23" t="s">
        <v>329</v>
      </c>
      <c r="G37" s="23" t="s">
        <v>330</v>
      </c>
      <c r="H37" s="23" t="s">
        <v>331</v>
      </c>
      <c r="I37" s="22"/>
      <c r="J37" s="24" t="s">
        <v>51</v>
      </c>
      <c r="K37" s="24"/>
      <c r="L37" s="24"/>
      <c r="M37" s="25"/>
      <c r="N37" s="23" t="n">
        <f aca="false">VALUE(LEFT(A37,FIND(".",A37)-1))</f>
        <v>8</v>
      </c>
    </row>
    <row r="38" customFormat="false" ht="60" hidden="false" customHeight="true" outlineLevel="0" collapsed="false">
      <c r="A38" s="21" t="s">
        <v>332</v>
      </c>
      <c r="B38" s="21" t="s">
        <v>333</v>
      </c>
      <c r="C38" s="22" t="s">
        <v>67</v>
      </c>
      <c r="D38" s="23" t="s">
        <v>334</v>
      </c>
      <c r="E38" s="23" t="s">
        <v>335</v>
      </c>
      <c r="F38" s="23" t="s">
        <v>336</v>
      </c>
      <c r="G38" s="23" t="s">
        <v>337</v>
      </c>
      <c r="H38" s="23" t="s">
        <v>338</v>
      </c>
      <c r="I38" s="22"/>
      <c r="J38" s="24" t="s">
        <v>51</v>
      </c>
      <c r="K38" s="24"/>
      <c r="L38" s="24"/>
      <c r="M38" s="25"/>
      <c r="N38" s="23" t="n">
        <f aca="false">VALUE(LEFT(A38,FIND(".",A38)-1))</f>
        <v>8</v>
      </c>
    </row>
    <row r="39" customFormat="false" ht="85.5" hidden="false" customHeight="true" outlineLevel="0" collapsed="false">
      <c r="A39" s="21" t="s">
        <v>339</v>
      </c>
      <c r="B39" s="21" t="s">
        <v>340</v>
      </c>
      <c r="C39" s="22" t="s">
        <v>67</v>
      </c>
      <c r="D39" s="23" t="s">
        <v>341</v>
      </c>
      <c r="E39" s="23" t="s">
        <v>342</v>
      </c>
      <c r="F39" s="23" t="s">
        <v>343</v>
      </c>
      <c r="G39" s="23" t="s">
        <v>344</v>
      </c>
      <c r="H39" s="23" t="s">
        <v>345</v>
      </c>
      <c r="I39" s="22"/>
      <c r="J39" s="24" t="s">
        <v>51</v>
      </c>
      <c r="K39" s="24"/>
      <c r="L39" s="24"/>
      <c r="M39" s="25"/>
      <c r="N39" s="23" t="n">
        <f aca="false">VALUE(LEFT(A39,FIND(".",A39)-1))</f>
        <v>8</v>
      </c>
    </row>
    <row r="40" customFormat="false" ht="85.5" hidden="false" customHeight="true" outlineLevel="0" collapsed="false">
      <c r="A40" s="21" t="s">
        <v>346</v>
      </c>
      <c r="B40" s="21" t="s">
        <v>347</v>
      </c>
      <c r="C40" s="22" t="s">
        <v>67</v>
      </c>
      <c r="D40" s="23" t="s">
        <v>348</v>
      </c>
      <c r="E40" s="23" t="s">
        <v>349</v>
      </c>
      <c r="F40" s="23" t="s">
        <v>350</v>
      </c>
      <c r="G40" s="23" t="s">
        <v>351</v>
      </c>
      <c r="H40" s="23" t="s">
        <v>352</v>
      </c>
      <c r="I40" s="22"/>
      <c r="J40" s="24" t="s">
        <v>51</v>
      </c>
      <c r="K40" s="24"/>
      <c r="L40" s="24"/>
      <c r="M40" s="25"/>
      <c r="N40" s="23" t="n">
        <f aca="false">VALUE(LEFT(A40,FIND(".",A40)-1))</f>
        <v>8</v>
      </c>
    </row>
    <row r="41" customFormat="false" ht="85.5" hidden="false" customHeight="true" outlineLevel="0" collapsed="false">
      <c r="A41" s="21" t="s">
        <v>353</v>
      </c>
      <c r="B41" s="21" t="s">
        <v>354</v>
      </c>
      <c r="C41" s="22" t="s">
        <v>67</v>
      </c>
      <c r="D41" s="23" t="s">
        <v>355</v>
      </c>
      <c r="E41" s="23" t="s">
        <v>356</v>
      </c>
      <c r="F41" s="23" t="s">
        <v>357</v>
      </c>
      <c r="G41" s="23" t="s">
        <v>358</v>
      </c>
      <c r="H41" s="23" t="s">
        <v>359</v>
      </c>
      <c r="I41" s="22"/>
      <c r="J41" s="24" t="s">
        <v>51</v>
      </c>
      <c r="K41" s="24"/>
      <c r="L41" s="24"/>
      <c r="M41" s="25"/>
      <c r="N41" s="23" t="n">
        <f aca="false">VALUE(LEFT(A41,FIND(".",A41)-1))</f>
        <v>8</v>
      </c>
    </row>
    <row r="42" customFormat="false" ht="111.75" hidden="false" customHeight="true" outlineLevel="0" collapsed="false">
      <c r="A42" s="21" t="s">
        <v>360</v>
      </c>
      <c r="B42" s="21" t="s">
        <v>361</v>
      </c>
      <c r="C42" s="22" t="s">
        <v>67</v>
      </c>
      <c r="D42" s="23" t="s">
        <v>362</v>
      </c>
      <c r="E42" s="23" t="s">
        <v>363</v>
      </c>
      <c r="F42" s="23" t="s">
        <v>364</v>
      </c>
      <c r="G42" s="23" t="s">
        <v>365</v>
      </c>
      <c r="H42" s="23" t="s">
        <v>366</v>
      </c>
      <c r="I42" s="22"/>
      <c r="J42" s="24" t="s">
        <v>51</v>
      </c>
      <c r="K42" s="24"/>
      <c r="L42" s="24"/>
      <c r="M42" s="25"/>
      <c r="N42" s="23" t="n">
        <f aca="false">VALUE(LEFT(A42,FIND(".",A42)-1))</f>
        <v>8</v>
      </c>
    </row>
    <row r="43" customFormat="false" ht="72.75" hidden="false" customHeight="true" outlineLevel="0" collapsed="false">
      <c r="A43" s="21" t="s">
        <v>367</v>
      </c>
      <c r="B43" s="21" t="s">
        <v>368</v>
      </c>
      <c r="C43" s="22" t="s">
        <v>68</v>
      </c>
      <c r="D43" s="23" t="s">
        <v>369</v>
      </c>
      <c r="E43" s="23" t="s">
        <v>370</v>
      </c>
      <c r="F43" s="23" t="s">
        <v>371</v>
      </c>
      <c r="G43" s="23" t="s">
        <v>372</v>
      </c>
      <c r="H43" s="23" t="s">
        <v>373</v>
      </c>
      <c r="I43" s="22"/>
      <c r="J43" s="24" t="s">
        <v>51</v>
      </c>
      <c r="K43" s="24"/>
      <c r="L43" s="24"/>
      <c r="M43" s="25"/>
      <c r="N43" s="23" t="n">
        <f aca="false">VALUE(LEFT(A43,FIND(".",A43)-1))</f>
        <v>8</v>
      </c>
    </row>
    <row r="44" customFormat="false" ht="72.75" hidden="false" customHeight="true" outlineLevel="0" collapsed="false">
      <c r="A44" s="21" t="s">
        <v>374</v>
      </c>
      <c r="B44" s="21" t="s">
        <v>375</v>
      </c>
      <c r="C44" s="22" t="s">
        <v>68</v>
      </c>
      <c r="D44" s="23" t="s">
        <v>376</v>
      </c>
      <c r="E44" s="23" t="s">
        <v>377</v>
      </c>
      <c r="F44" s="23" t="s">
        <v>378</v>
      </c>
      <c r="G44" s="23" t="s">
        <v>379</v>
      </c>
      <c r="H44" s="23" t="s">
        <v>380</v>
      </c>
      <c r="I44" s="22"/>
      <c r="J44" s="24" t="s">
        <v>51</v>
      </c>
      <c r="K44" s="24"/>
      <c r="L44" s="24"/>
      <c r="M44" s="25"/>
      <c r="N44" s="23" t="n">
        <f aca="false">VALUE(LEFT(A44,FIND(".",A44)-1))</f>
        <v>8</v>
      </c>
    </row>
    <row r="45" customFormat="false" ht="72.75" hidden="false" customHeight="true" outlineLevel="0" collapsed="false">
      <c r="A45" s="21" t="s">
        <v>381</v>
      </c>
      <c r="B45" s="21" t="s">
        <v>382</v>
      </c>
      <c r="C45" s="22" t="s">
        <v>66</v>
      </c>
      <c r="D45" s="23" t="s">
        <v>383</v>
      </c>
      <c r="E45" s="23" t="s">
        <v>384</v>
      </c>
      <c r="F45" s="23" t="s">
        <v>385</v>
      </c>
      <c r="G45" s="23" t="s">
        <v>386</v>
      </c>
      <c r="H45" s="23" t="s">
        <v>387</v>
      </c>
      <c r="I45" s="22"/>
      <c r="J45" s="24" t="s">
        <v>51</v>
      </c>
      <c r="K45" s="24"/>
      <c r="L45" s="24"/>
      <c r="M45" s="25"/>
      <c r="N45" s="23" t="n">
        <f aca="false">VALUE(LEFT(A45,FIND(".",A45)-1))</f>
        <v>8</v>
      </c>
    </row>
    <row r="46" customFormat="false" ht="46.5" hidden="false" customHeight="true" outlineLevel="0" collapsed="false">
      <c r="A46" s="21" t="s">
        <v>388</v>
      </c>
      <c r="B46" s="21" t="s">
        <v>389</v>
      </c>
      <c r="C46" s="22" t="s">
        <v>66</v>
      </c>
      <c r="D46" s="23" t="s">
        <v>390</v>
      </c>
      <c r="E46" s="23" t="s">
        <v>391</v>
      </c>
      <c r="F46" s="23" t="s">
        <v>392</v>
      </c>
      <c r="G46" s="23" t="s">
        <v>393</v>
      </c>
      <c r="H46" s="23" t="s">
        <v>394</v>
      </c>
      <c r="I46" s="22"/>
      <c r="J46" s="24" t="s">
        <v>51</v>
      </c>
      <c r="K46" s="24"/>
      <c r="L46" s="24"/>
      <c r="M46" s="25"/>
      <c r="N46" s="23" t="n">
        <f aca="false">VALUE(LEFT(A46,FIND(".",A46)-1))</f>
        <v>8</v>
      </c>
    </row>
    <row r="47" customFormat="false" ht="124.5" hidden="false" customHeight="true" outlineLevel="0" collapsed="false">
      <c r="A47" s="21" t="s">
        <v>395</v>
      </c>
      <c r="B47" s="21" t="s">
        <v>396</v>
      </c>
      <c r="C47" s="22" t="s">
        <v>68</v>
      </c>
      <c r="D47" s="23" t="s">
        <v>397</v>
      </c>
      <c r="E47" s="23" t="s">
        <v>398</v>
      </c>
      <c r="F47" s="23" t="s">
        <v>399</v>
      </c>
      <c r="G47" s="23" t="s">
        <v>400</v>
      </c>
      <c r="H47" s="23" t="s">
        <v>401</v>
      </c>
      <c r="I47" s="22"/>
      <c r="J47" s="24" t="s">
        <v>51</v>
      </c>
      <c r="K47" s="24"/>
      <c r="L47" s="24"/>
      <c r="M47" s="25"/>
      <c r="N47" s="23" t="n">
        <f aca="false">VALUE(LEFT(A47,FIND(".",A47)-1))</f>
        <v>8</v>
      </c>
    </row>
    <row r="48" customFormat="false" ht="85.5" hidden="false" customHeight="true" outlineLevel="0" collapsed="false">
      <c r="A48" s="21" t="s">
        <v>402</v>
      </c>
      <c r="B48" s="21" t="s">
        <v>403</v>
      </c>
      <c r="C48" s="22" t="s">
        <v>68</v>
      </c>
      <c r="D48" s="23" t="s">
        <v>404</v>
      </c>
      <c r="E48" s="23" t="s">
        <v>405</v>
      </c>
      <c r="F48" s="23" t="s">
        <v>406</v>
      </c>
      <c r="G48" s="23" t="s">
        <v>407</v>
      </c>
      <c r="H48" s="23" t="s">
        <v>408</v>
      </c>
      <c r="I48" s="22"/>
      <c r="J48" s="24" t="s">
        <v>51</v>
      </c>
      <c r="K48" s="24"/>
      <c r="L48" s="24"/>
      <c r="M48" s="25"/>
      <c r="N48" s="23" t="n">
        <f aca="false">VALUE(LEFT(A48,FIND(".",A48)-1))</f>
        <v>8</v>
      </c>
    </row>
    <row r="49" customFormat="false" ht="72.75" hidden="false" customHeight="true" outlineLevel="0" collapsed="false">
      <c r="A49" s="21" t="s">
        <v>409</v>
      </c>
      <c r="B49" s="21" t="s">
        <v>410</v>
      </c>
      <c r="C49" s="22" t="s">
        <v>66</v>
      </c>
      <c r="D49" s="23" t="s">
        <v>411</v>
      </c>
      <c r="E49" s="23" t="s">
        <v>412</v>
      </c>
      <c r="F49" s="23" t="s">
        <v>413</v>
      </c>
      <c r="G49" s="23" t="s">
        <v>414</v>
      </c>
      <c r="H49" s="23" t="s">
        <v>415</v>
      </c>
      <c r="I49" s="22"/>
      <c r="J49" s="24" t="s">
        <v>51</v>
      </c>
      <c r="K49" s="24"/>
      <c r="L49" s="24"/>
      <c r="M49" s="25"/>
      <c r="N49" s="23" t="n">
        <f aca="false">VALUE(LEFT(A49,FIND(".",A49)-1))</f>
        <v>8</v>
      </c>
    </row>
    <row r="50" customFormat="false" ht="111.75" hidden="false" customHeight="true" outlineLevel="0" collapsed="false">
      <c r="A50" s="21" t="s">
        <v>416</v>
      </c>
      <c r="B50" s="21" t="s">
        <v>417</v>
      </c>
      <c r="C50" s="22" t="s">
        <v>67</v>
      </c>
      <c r="D50" s="23" t="s">
        <v>418</v>
      </c>
      <c r="E50" s="23" t="s">
        <v>419</v>
      </c>
      <c r="F50" s="23" t="s">
        <v>420</v>
      </c>
      <c r="G50" s="23" t="s">
        <v>421</v>
      </c>
      <c r="H50" s="23" t="s">
        <v>422</v>
      </c>
      <c r="I50" s="22"/>
      <c r="J50" s="24" t="s">
        <v>51</v>
      </c>
      <c r="K50" s="24"/>
      <c r="L50" s="24"/>
      <c r="M50" s="25"/>
      <c r="N50" s="23" t="n">
        <f aca="false">VALUE(LEFT(A50,FIND(".",A50)-1))</f>
        <v>8</v>
      </c>
    </row>
    <row r="51" customFormat="false" ht="99" hidden="false" customHeight="true" outlineLevel="0" collapsed="false">
      <c r="A51" s="21" t="s">
        <v>423</v>
      </c>
      <c r="B51" s="21" t="s">
        <v>424</v>
      </c>
      <c r="C51" s="22" t="s">
        <v>68</v>
      </c>
      <c r="D51" s="23" t="s">
        <v>425</v>
      </c>
      <c r="E51" s="23" t="s">
        <v>426</v>
      </c>
      <c r="F51" s="23" t="s">
        <v>427</v>
      </c>
      <c r="G51" s="23" t="s">
        <v>428</v>
      </c>
      <c r="H51" s="23" t="s">
        <v>429</v>
      </c>
      <c r="I51" s="22" t="s">
        <v>310</v>
      </c>
      <c r="J51" s="24" t="s">
        <v>51</v>
      </c>
      <c r="K51" s="24"/>
      <c r="L51" s="24"/>
      <c r="M51" s="25"/>
      <c r="N51" s="23" t="n">
        <f aca="false">VALUE(LEFT(A51,FIND(".",A51)-1))</f>
        <v>8</v>
      </c>
    </row>
    <row r="52" customFormat="false" ht="99" hidden="false" customHeight="true" outlineLevel="0" collapsed="false">
      <c r="A52" s="21" t="s">
        <v>430</v>
      </c>
      <c r="B52" s="21" t="s">
        <v>431</v>
      </c>
      <c r="C52" s="22" t="s">
        <v>68</v>
      </c>
      <c r="D52" s="23" t="s">
        <v>432</v>
      </c>
      <c r="E52" s="23" t="s">
        <v>433</v>
      </c>
      <c r="F52" s="23" t="s">
        <v>434</v>
      </c>
      <c r="G52" s="23" t="s">
        <v>435</v>
      </c>
      <c r="H52" s="23" t="s">
        <v>436</v>
      </c>
      <c r="I52" s="22" t="s">
        <v>437</v>
      </c>
      <c r="J52" s="24" t="s">
        <v>51</v>
      </c>
      <c r="K52" s="24"/>
      <c r="L52" s="24"/>
      <c r="M52" s="25"/>
      <c r="N52" s="23" t="n">
        <f aca="false">VALUE(LEFT(A52,FIND(".",A52)-1))</f>
        <v>8</v>
      </c>
    </row>
    <row r="53" customFormat="false" ht="99" hidden="false" customHeight="true" outlineLevel="0" collapsed="false">
      <c r="A53" s="21" t="s">
        <v>438</v>
      </c>
      <c r="B53" s="21" t="s">
        <v>439</v>
      </c>
      <c r="C53" s="22" t="s">
        <v>68</v>
      </c>
      <c r="D53" s="23" t="s">
        <v>440</v>
      </c>
      <c r="E53" s="23" t="s">
        <v>441</v>
      </c>
      <c r="F53" s="23" t="s">
        <v>442</v>
      </c>
      <c r="G53" s="23" t="s">
        <v>443</v>
      </c>
      <c r="H53" s="23" t="s">
        <v>444</v>
      </c>
      <c r="I53" s="22" t="s">
        <v>445</v>
      </c>
      <c r="J53" s="24" t="s">
        <v>51</v>
      </c>
      <c r="K53" s="24"/>
      <c r="L53" s="24"/>
      <c r="M53" s="25"/>
      <c r="N53" s="23" t="n">
        <f aca="false">VALUE(LEFT(A53,FIND(".",A53)-1))</f>
        <v>8</v>
      </c>
    </row>
    <row r="54" customFormat="false" ht="85.5" hidden="false" customHeight="true" outlineLevel="0" collapsed="false">
      <c r="A54" s="21" t="s">
        <v>446</v>
      </c>
      <c r="B54" s="21" t="s">
        <v>447</v>
      </c>
      <c r="C54" s="22" t="s">
        <v>66</v>
      </c>
      <c r="D54" s="23" t="s">
        <v>448</v>
      </c>
      <c r="E54" s="23" t="s">
        <v>449</v>
      </c>
      <c r="F54" s="23" t="s">
        <v>450</v>
      </c>
      <c r="G54" s="23" t="s">
        <v>451</v>
      </c>
      <c r="H54" s="23" t="s">
        <v>452</v>
      </c>
      <c r="I54" s="22" t="s">
        <v>445</v>
      </c>
      <c r="J54" s="24" t="s">
        <v>51</v>
      </c>
      <c r="K54" s="24"/>
      <c r="L54" s="24"/>
      <c r="M54" s="25"/>
      <c r="N54" s="23" t="n">
        <f aca="false">VALUE(LEFT(A54,FIND(".",A54)-1))</f>
        <v>8</v>
      </c>
    </row>
    <row r="55" customFormat="false" ht="99" hidden="false" customHeight="true" outlineLevel="0" collapsed="false">
      <c r="A55" s="21" t="s">
        <v>453</v>
      </c>
      <c r="B55" s="21" t="s">
        <v>454</v>
      </c>
      <c r="C55" s="22" t="s">
        <v>67</v>
      </c>
      <c r="D55" s="23" t="s">
        <v>455</v>
      </c>
      <c r="E55" s="23" t="s">
        <v>456</v>
      </c>
      <c r="F55" s="23" t="s">
        <v>457</v>
      </c>
      <c r="G55" s="23" t="s">
        <v>458</v>
      </c>
      <c r="H55" s="23" t="s">
        <v>459</v>
      </c>
      <c r="I55" s="22"/>
      <c r="J55" s="24" t="s">
        <v>51</v>
      </c>
      <c r="K55" s="24"/>
      <c r="L55" s="24"/>
      <c r="M55" s="25"/>
      <c r="N55" s="23" t="n">
        <f aca="false">VALUE(LEFT(A55,FIND(".",A55)-1))</f>
        <v>8</v>
      </c>
    </row>
    <row r="56" customFormat="false" ht="85.5" hidden="false" customHeight="true" outlineLevel="0" collapsed="false">
      <c r="A56" s="21" t="s">
        <v>460</v>
      </c>
      <c r="B56" s="21" t="s">
        <v>461</v>
      </c>
      <c r="C56" s="22" t="s">
        <v>66</v>
      </c>
      <c r="D56" s="23" t="s">
        <v>462</v>
      </c>
      <c r="E56" s="23" t="s">
        <v>463</v>
      </c>
      <c r="F56" s="23" t="s">
        <v>464</v>
      </c>
      <c r="G56" s="23" t="s">
        <v>465</v>
      </c>
      <c r="H56" s="23" t="s">
        <v>466</v>
      </c>
      <c r="I56" s="22"/>
      <c r="J56" s="24" t="s">
        <v>51</v>
      </c>
      <c r="K56" s="24"/>
      <c r="L56" s="24"/>
      <c r="M56" s="25"/>
      <c r="N56" s="23" t="n">
        <f aca="false">VALUE(LEFT(A56,FIND(".",A56)-1))</f>
        <v>8</v>
      </c>
    </row>
    <row r="57" customFormat="false" ht="85.5" hidden="false" customHeight="true" outlineLevel="0" collapsed="false">
      <c r="A57" s="21" t="s">
        <v>467</v>
      </c>
      <c r="B57" s="21" t="s">
        <v>468</v>
      </c>
      <c r="C57" s="22" t="s">
        <v>67</v>
      </c>
      <c r="D57" s="23" t="s">
        <v>469</v>
      </c>
      <c r="E57" s="23" t="s">
        <v>470</v>
      </c>
      <c r="F57" s="23" t="s">
        <v>471</v>
      </c>
      <c r="G57" s="23" t="s">
        <v>472</v>
      </c>
      <c r="H57" s="23" t="s">
        <v>473</v>
      </c>
      <c r="I57" s="22" t="s">
        <v>474</v>
      </c>
      <c r="J57" s="24" t="s">
        <v>51</v>
      </c>
      <c r="K57" s="24"/>
      <c r="L57" s="24"/>
      <c r="M57" s="25"/>
      <c r="N57" s="23" t="n">
        <f aca="false">VALUE(LEFT(A57,FIND(".",A57)-1))</f>
        <v>8</v>
      </c>
    </row>
    <row r="58" customFormat="false" ht="60" hidden="false" customHeight="true" outlineLevel="0" collapsed="false">
      <c r="A58" s="21" t="s">
        <v>475</v>
      </c>
      <c r="B58" s="21" t="s">
        <v>476</v>
      </c>
      <c r="C58" s="22" t="s">
        <v>67</v>
      </c>
      <c r="D58" s="23" t="s">
        <v>477</v>
      </c>
      <c r="E58" s="23" t="s">
        <v>478</v>
      </c>
      <c r="F58" s="23" t="s">
        <v>479</v>
      </c>
      <c r="G58" s="23" t="s">
        <v>480</v>
      </c>
      <c r="H58" s="23" t="s">
        <v>481</v>
      </c>
      <c r="I58" s="22"/>
      <c r="J58" s="24" t="s">
        <v>51</v>
      </c>
      <c r="K58" s="24"/>
      <c r="L58" s="24"/>
      <c r="M58" s="25"/>
      <c r="N58" s="23" t="n">
        <f aca="false">VALUE(LEFT(A58,FIND(".",A58)-1))</f>
        <v>8</v>
      </c>
    </row>
    <row r="59" customFormat="false" ht="72.75" hidden="false" customHeight="true" outlineLevel="0" collapsed="false">
      <c r="A59" s="21" t="s">
        <v>482</v>
      </c>
      <c r="B59" s="21" t="s">
        <v>483</v>
      </c>
      <c r="C59" s="22" t="s">
        <v>67</v>
      </c>
      <c r="D59" s="23" t="s">
        <v>484</v>
      </c>
      <c r="E59" s="23" t="s">
        <v>485</v>
      </c>
      <c r="F59" s="23" t="s">
        <v>486</v>
      </c>
      <c r="G59" s="23" t="s">
        <v>487</v>
      </c>
      <c r="H59" s="23" t="s">
        <v>488</v>
      </c>
      <c r="I59" s="22"/>
      <c r="J59" s="24" t="s">
        <v>51</v>
      </c>
      <c r="K59" s="24"/>
      <c r="L59" s="24"/>
      <c r="M59" s="25"/>
      <c r="N59" s="23" t="n">
        <f aca="false">VALUE(LEFT(A59,FIND(".",A59)-1))</f>
        <v>8</v>
      </c>
    </row>
    <row r="60" customFormat="false" ht="111.75" hidden="false" customHeight="true" outlineLevel="0" collapsed="false">
      <c r="A60" s="21" t="s">
        <v>489</v>
      </c>
      <c r="B60" s="21" t="s">
        <v>490</v>
      </c>
      <c r="C60" s="22" t="s">
        <v>68</v>
      </c>
      <c r="D60" s="23" t="s">
        <v>491</v>
      </c>
      <c r="E60" s="23" t="s">
        <v>492</v>
      </c>
      <c r="F60" s="23" t="s">
        <v>493</v>
      </c>
      <c r="G60" s="23" t="s">
        <v>494</v>
      </c>
      <c r="H60" s="23" t="s">
        <v>495</v>
      </c>
      <c r="I60" s="22" t="s">
        <v>496</v>
      </c>
      <c r="J60" s="24" t="s">
        <v>51</v>
      </c>
      <c r="K60" s="24"/>
      <c r="L60" s="24"/>
      <c r="M60" s="25"/>
      <c r="N60" s="23" t="n">
        <f aca="false">VALUE(LEFT(A60,FIND(".",A60)-1))</f>
        <v>8</v>
      </c>
    </row>
    <row r="61" customFormat="false" ht="138" hidden="false" customHeight="true" outlineLevel="0" collapsed="false">
      <c r="A61" s="21" t="s">
        <v>497</v>
      </c>
      <c r="B61" s="21" t="s">
        <v>498</v>
      </c>
      <c r="C61" s="22" t="s">
        <v>67</v>
      </c>
      <c r="D61" s="23" t="s">
        <v>499</v>
      </c>
      <c r="E61" s="23" t="s">
        <v>500</v>
      </c>
      <c r="F61" s="23" t="s">
        <v>501</v>
      </c>
      <c r="G61" s="23" t="s">
        <v>502</v>
      </c>
      <c r="H61" s="23" t="s">
        <v>503</v>
      </c>
      <c r="I61" s="22" t="s">
        <v>437</v>
      </c>
      <c r="J61" s="24" t="s">
        <v>51</v>
      </c>
      <c r="K61" s="24"/>
      <c r="L61" s="24"/>
      <c r="M61" s="25"/>
      <c r="N61" s="23" t="n">
        <f aca="false">VALUE(LEFT(A61,FIND(".",A61)-1))</f>
        <v>8</v>
      </c>
    </row>
    <row r="62" customFormat="false" ht="138" hidden="false" customHeight="true" outlineLevel="0" collapsed="false">
      <c r="A62" s="21" t="s">
        <v>504</v>
      </c>
      <c r="B62" s="21" t="s">
        <v>505</v>
      </c>
      <c r="C62" s="22" t="s">
        <v>68</v>
      </c>
      <c r="D62" s="23" t="s">
        <v>506</v>
      </c>
      <c r="E62" s="23" t="s">
        <v>507</v>
      </c>
      <c r="F62" s="23" t="s">
        <v>508</v>
      </c>
      <c r="G62" s="23" t="s">
        <v>509</v>
      </c>
      <c r="H62" s="23" t="s">
        <v>510</v>
      </c>
      <c r="I62" s="22" t="s">
        <v>511</v>
      </c>
      <c r="J62" s="24" t="s">
        <v>51</v>
      </c>
      <c r="K62" s="24"/>
      <c r="L62" s="24"/>
      <c r="M62" s="25"/>
      <c r="N62" s="23" t="n">
        <f aca="false">VALUE(LEFT(A62,FIND(".",A62)-1))</f>
        <v>8</v>
      </c>
    </row>
    <row r="63" customFormat="false" ht="99" hidden="false" customHeight="true" outlineLevel="0" collapsed="false">
      <c r="A63" s="21" t="s">
        <v>512</v>
      </c>
      <c r="B63" s="21" t="s">
        <v>513</v>
      </c>
      <c r="C63" s="22" t="s">
        <v>68</v>
      </c>
      <c r="D63" s="23" t="s">
        <v>514</v>
      </c>
      <c r="E63" s="23" t="s">
        <v>515</v>
      </c>
      <c r="F63" s="23" t="s">
        <v>516</v>
      </c>
      <c r="G63" s="23" t="s">
        <v>517</v>
      </c>
      <c r="H63" s="23" t="s">
        <v>518</v>
      </c>
      <c r="I63" s="22" t="s">
        <v>511</v>
      </c>
      <c r="J63" s="24" t="s">
        <v>51</v>
      </c>
      <c r="K63" s="24"/>
      <c r="L63" s="24"/>
      <c r="M63" s="25"/>
      <c r="N63" s="23" t="n">
        <f aca="false">VALUE(LEFT(A63,FIND(".",A63)-1))</f>
        <v>8</v>
      </c>
    </row>
    <row r="64" customFormat="false" ht="111.75" hidden="false" customHeight="true" outlineLevel="0" collapsed="false">
      <c r="A64" s="21" t="s">
        <v>519</v>
      </c>
      <c r="B64" s="21" t="s">
        <v>520</v>
      </c>
      <c r="C64" s="22" t="s">
        <v>68</v>
      </c>
      <c r="D64" s="23" t="s">
        <v>521</v>
      </c>
      <c r="E64" s="23" t="s">
        <v>522</v>
      </c>
      <c r="F64" s="23" t="s">
        <v>523</v>
      </c>
      <c r="G64" s="23" t="s">
        <v>524</v>
      </c>
      <c r="H64" s="23" t="s">
        <v>525</v>
      </c>
      <c r="I64" s="22" t="s">
        <v>511</v>
      </c>
      <c r="J64" s="24" t="s">
        <v>51</v>
      </c>
      <c r="K64" s="24"/>
      <c r="L64" s="24"/>
      <c r="M64" s="25"/>
      <c r="N64" s="23" t="n">
        <f aca="false">VALUE(LEFT(A64,FIND(".",A64)-1))</f>
        <v>8</v>
      </c>
    </row>
    <row r="65" customFormat="false" ht="85.5" hidden="false" customHeight="true" outlineLevel="0" collapsed="false">
      <c r="A65" s="21" t="s">
        <v>526</v>
      </c>
      <c r="B65" s="21" t="s">
        <v>527</v>
      </c>
      <c r="C65" s="22" t="s">
        <v>67</v>
      </c>
      <c r="D65" s="23" t="s">
        <v>528</v>
      </c>
      <c r="E65" s="23" t="s">
        <v>529</v>
      </c>
      <c r="F65" s="23" t="s">
        <v>530</v>
      </c>
      <c r="G65" s="23" t="s">
        <v>531</v>
      </c>
      <c r="H65" s="23" t="s">
        <v>532</v>
      </c>
      <c r="I65" s="22" t="s">
        <v>533</v>
      </c>
      <c r="J65" s="24" t="s">
        <v>51</v>
      </c>
      <c r="K65" s="24"/>
      <c r="L65" s="24"/>
      <c r="M65" s="25"/>
      <c r="N65" s="23" t="n">
        <f aca="false">VALUE(LEFT(A65,FIND(".",A65)-1))</f>
        <v>8</v>
      </c>
    </row>
    <row r="66" customFormat="false" ht="85.5" hidden="false" customHeight="true" outlineLevel="0" collapsed="false">
      <c r="A66" s="21" t="s">
        <v>534</v>
      </c>
      <c r="B66" s="21" t="s">
        <v>535</v>
      </c>
      <c r="C66" s="22" t="s">
        <v>67</v>
      </c>
      <c r="D66" s="23" t="s">
        <v>536</v>
      </c>
      <c r="E66" s="23" t="s">
        <v>537</v>
      </c>
      <c r="F66" s="23" t="s">
        <v>538</v>
      </c>
      <c r="G66" s="23" t="s">
        <v>539</v>
      </c>
      <c r="H66" s="23" t="s">
        <v>540</v>
      </c>
      <c r="I66" s="22"/>
      <c r="J66" s="24" t="s">
        <v>51</v>
      </c>
      <c r="K66" s="24"/>
      <c r="L66" s="24"/>
      <c r="M66" s="25"/>
      <c r="N66" s="23" t="n">
        <f aca="false">VALUE(LEFT(A66,FIND(".",A66)-1))</f>
        <v>8</v>
      </c>
    </row>
    <row r="67" customFormat="false" ht="85.5" hidden="false" customHeight="true" outlineLevel="0" collapsed="false">
      <c r="A67" s="21" t="s">
        <v>541</v>
      </c>
      <c r="B67" s="21" t="s">
        <v>542</v>
      </c>
      <c r="C67" s="22" t="s">
        <v>67</v>
      </c>
      <c r="D67" s="23" t="s">
        <v>543</v>
      </c>
      <c r="E67" s="23" t="s">
        <v>544</v>
      </c>
      <c r="F67" s="23" t="s">
        <v>545</v>
      </c>
      <c r="G67" s="23" t="s">
        <v>546</v>
      </c>
      <c r="H67" s="23" t="s">
        <v>547</v>
      </c>
      <c r="I67" s="22"/>
      <c r="J67" s="24" t="s">
        <v>51</v>
      </c>
      <c r="K67" s="24"/>
      <c r="L67" s="24"/>
      <c r="M67" s="25"/>
      <c r="N67" s="23" t="n">
        <f aca="false">VALUE(LEFT(A67,FIND(".",A67)-1))</f>
        <v>8</v>
      </c>
    </row>
    <row r="68" customFormat="false" ht="111.75" hidden="false" customHeight="true" outlineLevel="0" collapsed="false">
      <c r="A68" s="21" t="s">
        <v>548</v>
      </c>
      <c r="B68" s="21" t="s">
        <v>549</v>
      </c>
      <c r="C68" s="22" t="s">
        <v>67</v>
      </c>
      <c r="D68" s="23" t="s">
        <v>550</v>
      </c>
      <c r="E68" s="23" t="s">
        <v>551</v>
      </c>
      <c r="F68" s="23" t="s">
        <v>552</v>
      </c>
      <c r="G68" s="23" t="s">
        <v>553</v>
      </c>
      <c r="H68" s="23" t="s">
        <v>554</v>
      </c>
      <c r="I68" s="22" t="s">
        <v>555</v>
      </c>
      <c r="J68" s="24" t="s">
        <v>51</v>
      </c>
      <c r="K68" s="24"/>
      <c r="L68" s="24"/>
      <c r="M68" s="25"/>
      <c r="N68" s="23" t="n">
        <f aca="false">VALUE(LEFT(A68,FIND(".",A68)-1))</f>
        <v>8</v>
      </c>
    </row>
    <row r="69" customFormat="false" ht="99" hidden="false" customHeight="true" outlineLevel="0" collapsed="false">
      <c r="A69" s="21" t="s">
        <v>556</v>
      </c>
      <c r="B69" s="21" t="s">
        <v>557</v>
      </c>
      <c r="C69" s="22" t="s">
        <v>68</v>
      </c>
      <c r="D69" s="23" t="s">
        <v>558</v>
      </c>
      <c r="E69" s="23" t="s">
        <v>559</v>
      </c>
      <c r="F69" s="23" t="s">
        <v>560</v>
      </c>
      <c r="G69" s="23" t="s">
        <v>561</v>
      </c>
      <c r="H69" s="23" t="s">
        <v>562</v>
      </c>
      <c r="I69" s="22" t="s">
        <v>563</v>
      </c>
      <c r="J69" s="24" t="s">
        <v>51</v>
      </c>
      <c r="K69" s="24"/>
      <c r="L69" s="24"/>
      <c r="M69" s="25"/>
      <c r="N69" s="23" t="n">
        <f aca="false">VALUE(LEFT(A69,FIND(".",A69)-1))</f>
        <v>8</v>
      </c>
    </row>
    <row r="70" customFormat="false" ht="60" hidden="false" customHeight="true" outlineLevel="0" collapsed="false">
      <c r="A70" s="21" t="s">
        <v>564</v>
      </c>
      <c r="B70" s="21" t="s">
        <v>565</v>
      </c>
      <c r="C70" s="22" t="s">
        <v>66</v>
      </c>
      <c r="D70" s="23" t="s">
        <v>566</v>
      </c>
      <c r="E70" s="23" t="s">
        <v>567</v>
      </c>
      <c r="F70" s="23" t="s">
        <v>568</v>
      </c>
      <c r="G70" s="23" t="s">
        <v>569</v>
      </c>
      <c r="H70" s="23" t="s">
        <v>570</v>
      </c>
      <c r="I70" s="22"/>
      <c r="J70" s="24" t="s">
        <v>51</v>
      </c>
      <c r="K70" s="24"/>
      <c r="L70" s="24"/>
      <c r="M70" s="25"/>
      <c r="N70" s="23" t="n">
        <f aca="false">VALUE(LEFT(A70,FIND(".",A70)-1))</f>
        <v>8</v>
      </c>
    </row>
    <row r="71" customFormat="false" ht="85.5" hidden="false" customHeight="true" outlineLevel="0" collapsed="false">
      <c r="A71" s="21" t="s">
        <v>571</v>
      </c>
      <c r="B71" s="21" t="s">
        <v>572</v>
      </c>
      <c r="C71" s="22" t="s">
        <v>68</v>
      </c>
      <c r="D71" s="23" t="s">
        <v>573</v>
      </c>
      <c r="E71" s="23" t="s">
        <v>574</v>
      </c>
      <c r="F71" s="23" t="s">
        <v>575</v>
      </c>
      <c r="G71" s="23" t="s">
        <v>576</v>
      </c>
      <c r="H71" s="23" t="s">
        <v>577</v>
      </c>
      <c r="I71" s="22"/>
      <c r="J71" s="24" t="s">
        <v>51</v>
      </c>
      <c r="K71" s="24"/>
      <c r="L71" s="24"/>
      <c r="M71" s="25"/>
      <c r="N71" s="23" t="n">
        <f aca="false">VALUE(LEFT(A71,FIND(".",A71)-1))</f>
        <v>8</v>
      </c>
    </row>
    <row r="72" customFormat="false" ht="85.5" hidden="false" customHeight="true" outlineLevel="0" collapsed="false">
      <c r="A72" s="21" t="s">
        <v>578</v>
      </c>
      <c r="B72" s="21" t="s">
        <v>579</v>
      </c>
      <c r="C72" s="22" t="s">
        <v>68</v>
      </c>
      <c r="D72" s="23" t="s">
        <v>580</v>
      </c>
      <c r="E72" s="23" t="s">
        <v>581</v>
      </c>
      <c r="F72" s="23" t="s">
        <v>582</v>
      </c>
      <c r="G72" s="23" t="s">
        <v>583</v>
      </c>
      <c r="H72" s="23" t="s">
        <v>584</v>
      </c>
      <c r="I72" s="22"/>
      <c r="J72" s="24" t="s">
        <v>51</v>
      </c>
      <c r="K72" s="24"/>
      <c r="L72" s="24"/>
      <c r="M72" s="25"/>
      <c r="N72" s="23" t="n">
        <f aca="false">VALUE(LEFT(A72,FIND(".",A72)-1))</f>
        <v>8</v>
      </c>
    </row>
    <row r="73" customFormat="false" ht="72.75" hidden="false" customHeight="true" outlineLevel="0" collapsed="false">
      <c r="A73" s="21" t="s">
        <v>585</v>
      </c>
      <c r="B73" s="21" t="s">
        <v>586</v>
      </c>
      <c r="C73" s="22" t="s">
        <v>68</v>
      </c>
      <c r="D73" s="23" t="s">
        <v>587</v>
      </c>
      <c r="E73" s="23" t="s">
        <v>588</v>
      </c>
      <c r="F73" s="23" t="s">
        <v>589</v>
      </c>
      <c r="G73" s="23" t="s">
        <v>590</v>
      </c>
      <c r="H73" s="23" t="s">
        <v>591</v>
      </c>
      <c r="I73" s="22" t="s">
        <v>437</v>
      </c>
      <c r="J73" s="24" t="s">
        <v>51</v>
      </c>
      <c r="K73" s="24"/>
      <c r="L73" s="24"/>
      <c r="M73" s="25"/>
      <c r="N73" s="23" t="n">
        <f aca="false">VALUE(LEFT(A73,FIND(".",A73)-1))</f>
        <v>8</v>
      </c>
    </row>
    <row r="74" customFormat="false" ht="111.75" hidden="false" customHeight="true" outlineLevel="0" collapsed="false">
      <c r="A74" s="21" t="s">
        <v>592</v>
      </c>
      <c r="B74" s="21" t="s">
        <v>593</v>
      </c>
      <c r="C74" s="22" t="s">
        <v>68</v>
      </c>
      <c r="D74" s="23" t="s">
        <v>594</v>
      </c>
      <c r="E74" s="23" t="s">
        <v>595</v>
      </c>
      <c r="F74" s="23" t="s">
        <v>596</v>
      </c>
      <c r="G74" s="23" t="s">
        <v>597</v>
      </c>
      <c r="H74" s="23" t="s">
        <v>598</v>
      </c>
      <c r="I74" s="22" t="s">
        <v>599</v>
      </c>
      <c r="J74" s="24" t="s">
        <v>51</v>
      </c>
      <c r="K74" s="24"/>
      <c r="L74" s="24"/>
      <c r="M74" s="25"/>
      <c r="N74" s="23" t="n">
        <f aca="false">VALUE(LEFT(A74,FIND(".",A74)-1))</f>
        <v>8</v>
      </c>
    </row>
    <row r="75" customFormat="false" ht="99" hidden="false" customHeight="true" outlineLevel="0" collapsed="false">
      <c r="A75" s="21" t="s">
        <v>600</v>
      </c>
      <c r="B75" s="21" t="s">
        <v>601</v>
      </c>
      <c r="C75" s="22" t="s">
        <v>68</v>
      </c>
      <c r="D75" s="23" t="s">
        <v>602</v>
      </c>
      <c r="E75" s="23" t="s">
        <v>603</v>
      </c>
      <c r="F75" s="23" t="s">
        <v>604</v>
      </c>
      <c r="G75" s="23" t="s">
        <v>605</v>
      </c>
      <c r="H75" s="23" t="s">
        <v>606</v>
      </c>
      <c r="I75" s="22" t="s">
        <v>607</v>
      </c>
      <c r="J75" s="24" t="s">
        <v>51</v>
      </c>
      <c r="K75" s="24"/>
      <c r="L75" s="24"/>
      <c r="M75" s="25"/>
      <c r="N75" s="23" t="n">
        <f aca="false">VALUE(LEFT(A75,FIND(".",A75)-1))</f>
        <v>8</v>
      </c>
    </row>
    <row r="76" customFormat="false" ht="111.75" hidden="false" customHeight="true" outlineLevel="0" collapsed="false">
      <c r="A76" s="21" t="s">
        <v>608</v>
      </c>
      <c r="B76" s="21" t="s">
        <v>609</v>
      </c>
      <c r="C76" s="22" t="s">
        <v>67</v>
      </c>
      <c r="D76" s="23" t="s">
        <v>610</v>
      </c>
      <c r="E76" s="23" t="s">
        <v>611</v>
      </c>
      <c r="F76" s="23" t="s">
        <v>612</v>
      </c>
      <c r="G76" s="23" t="s">
        <v>613</v>
      </c>
      <c r="H76" s="23" t="s">
        <v>614</v>
      </c>
      <c r="I76" s="22" t="s">
        <v>607</v>
      </c>
      <c r="J76" s="24" t="s">
        <v>51</v>
      </c>
      <c r="K76" s="24"/>
      <c r="L76" s="24"/>
      <c r="M76" s="25"/>
      <c r="N76" s="23" t="n">
        <f aca="false">VALUE(LEFT(A76,FIND(".",A76)-1))</f>
        <v>8</v>
      </c>
    </row>
    <row r="77" customFormat="false" ht="46.5" hidden="false" customHeight="true" outlineLevel="0" collapsed="false">
      <c r="A77" s="21" t="s">
        <v>615</v>
      </c>
      <c r="B77" s="21" t="s">
        <v>616</v>
      </c>
      <c r="C77" s="22" t="s">
        <v>66</v>
      </c>
      <c r="D77" s="23" t="s">
        <v>617</v>
      </c>
      <c r="E77" s="23" t="s">
        <v>618</v>
      </c>
      <c r="F77" s="23" t="s">
        <v>619</v>
      </c>
      <c r="G77" s="23" t="s">
        <v>620</v>
      </c>
      <c r="H77" s="23" t="s">
        <v>621</v>
      </c>
      <c r="I77" s="22" t="s">
        <v>607</v>
      </c>
      <c r="J77" s="24" t="s">
        <v>51</v>
      </c>
      <c r="K77" s="24"/>
      <c r="L77" s="24"/>
      <c r="M77" s="25"/>
      <c r="N77" s="23" t="n">
        <f aca="false">VALUE(LEFT(A77,FIND(".",A77)-1))</f>
        <v>8</v>
      </c>
    </row>
    <row r="78" customFormat="false" ht="60" hidden="false" customHeight="true" outlineLevel="0" collapsed="false">
      <c r="A78" s="21" t="s">
        <v>622</v>
      </c>
      <c r="B78" s="21" t="s">
        <v>623</v>
      </c>
      <c r="C78" s="22" t="s">
        <v>66</v>
      </c>
      <c r="D78" s="23" t="s">
        <v>624</v>
      </c>
      <c r="E78" s="23" t="s">
        <v>625</v>
      </c>
      <c r="F78" s="23" t="s">
        <v>626</v>
      </c>
      <c r="G78" s="23" t="s">
        <v>627</v>
      </c>
      <c r="H78" s="23" t="s">
        <v>628</v>
      </c>
      <c r="I78" s="22"/>
      <c r="J78" s="24" t="s">
        <v>51</v>
      </c>
      <c r="K78" s="24"/>
      <c r="L78" s="24"/>
      <c r="M78" s="25"/>
      <c r="N78" s="23" t="n">
        <f aca="false">VALUE(LEFT(A78,FIND(".",A78)-1))</f>
        <v>9</v>
      </c>
    </row>
    <row r="79" customFormat="false" ht="85.5" hidden="false" customHeight="true" outlineLevel="0" collapsed="false">
      <c r="A79" s="21" t="s">
        <v>629</v>
      </c>
      <c r="B79" s="21" t="s">
        <v>630</v>
      </c>
      <c r="C79" s="22" t="s">
        <v>68</v>
      </c>
      <c r="D79" s="23" t="s">
        <v>631</v>
      </c>
      <c r="E79" s="23" t="s">
        <v>632</v>
      </c>
      <c r="F79" s="23" t="s">
        <v>633</v>
      </c>
      <c r="G79" s="23" t="s">
        <v>634</v>
      </c>
      <c r="H79" s="23" t="s">
        <v>635</v>
      </c>
      <c r="I79" s="22"/>
      <c r="J79" s="24" t="s">
        <v>51</v>
      </c>
      <c r="K79" s="24"/>
      <c r="L79" s="24"/>
      <c r="M79" s="25"/>
      <c r="N79" s="23" t="n">
        <f aca="false">VALUE(LEFT(A79,FIND(".",A79)-1))</f>
        <v>9</v>
      </c>
    </row>
    <row r="80" customFormat="false" ht="85.5" hidden="false" customHeight="true" outlineLevel="0" collapsed="false">
      <c r="A80" s="21" t="s">
        <v>636</v>
      </c>
      <c r="B80" s="21" t="s">
        <v>637</v>
      </c>
      <c r="C80" s="22" t="s">
        <v>66</v>
      </c>
      <c r="D80" s="23" t="s">
        <v>638</v>
      </c>
      <c r="E80" s="23" t="s">
        <v>639</v>
      </c>
      <c r="F80" s="23" t="s">
        <v>640</v>
      </c>
      <c r="G80" s="23" t="s">
        <v>641</v>
      </c>
      <c r="H80" s="23" t="s">
        <v>642</v>
      </c>
      <c r="I80" s="22"/>
      <c r="J80" s="24" t="s">
        <v>51</v>
      </c>
      <c r="K80" s="24"/>
      <c r="L80" s="24"/>
      <c r="M80" s="25"/>
      <c r="N80" s="23" t="n">
        <f aca="false">VALUE(LEFT(A80,FIND(".",A80)-1))</f>
        <v>9</v>
      </c>
    </row>
    <row r="81" customFormat="false" ht="99" hidden="false" customHeight="true" outlineLevel="0" collapsed="false">
      <c r="A81" s="21" t="s">
        <v>643</v>
      </c>
      <c r="B81" s="21" t="s">
        <v>644</v>
      </c>
      <c r="C81" s="22" t="s">
        <v>66</v>
      </c>
      <c r="D81" s="23" t="s">
        <v>645</v>
      </c>
      <c r="E81" s="23" t="s">
        <v>646</v>
      </c>
      <c r="F81" s="23" t="s">
        <v>647</v>
      </c>
      <c r="G81" s="23" t="s">
        <v>648</v>
      </c>
      <c r="H81" s="23" t="s">
        <v>649</v>
      </c>
      <c r="I81" s="22" t="s">
        <v>106</v>
      </c>
      <c r="J81" s="24" t="s">
        <v>51</v>
      </c>
      <c r="K81" s="24"/>
      <c r="L81" s="24"/>
      <c r="M81" s="25"/>
      <c r="N81" s="23" t="n">
        <f aca="false">VALUE(LEFT(A81,FIND(".",A81)-1))</f>
        <v>9</v>
      </c>
    </row>
    <row r="82" customFormat="false" ht="60" hidden="false" customHeight="true" outlineLevel="0" collapsed="false">
      <c r="A82" s="21" t="s">
        <v>650</v>
      </c>
      <c r="B82" s="21" t="s">
        <v>651</v>
      </c>
      <c r="C82" s="22" t="s">
        <v>66</v>
      </c>
      <c r="D82" s="23" t="s">
        <v>652</v>
      </c>
      <c r="E82" s="23" t="s">
        <v>653</v>
      </c>
      <c r="F82" s="23" t="s">
        <v>654</v>
      </c>
      <c r="G82" s="23" t="s">
        <v>655</v>
      </c>
      <c r="H82" s="23" t="s">
        <v>656</v>
      </c>
      <c r="I82" s="22" t="s">
        <v>106</v>
      </c>
      <c r="J82" s="24" t="s">
        <v>51</v>
      </c>
      <c r="K82" s="24"/>
      <c r="L82" s="24"/>
      <c r="M82" s="25"/>
      <c r="N82" s="23" t="n">
        <f aca="false">VALUE(LEFT(A82,FIND(".",A82)-1))</f>
        <v>9</v>
      </c>
    </row>
    <row r="83" customFormat="false" ht="111.75" hidden="false" customHeight="true" outlineLevel="0" collapsed="false">
      <c r="A83" s="21" t="s">
        <v>657</v>
      </c>
      <c r="B83" s="21" t="s">
        <v>658</v>
      </c>
      <c r="C83" s="22" t="s">
        <v>68</v>
      </c>
      <c r="D83" s="23" t="s">
        <v>659</v>
      </c>
      <c r="E83" s="23" t="s">
        <v>660</v>
      </c>
      <c r="F83" s="23" t="s">
        <v>661</v>
      </c>
      <c r="G83" s="23" t="s">
        <v>662</v>
      </c>
      <c r="H83" s="23" t="s">
        <v>663</v>
      </c>
      <c r="I83" s="22"/>
      <c r="J83" s="24" t="s">
        <v>51</v>
      </c>
      <c r="K83" s="24"/>
      <c r="L83" s="24"/>
      <c r="M83" s="25"/>
      <c r="N83" s="23" t="n">
        <f aca="false">VALUE(LEFT(A83,FIND(".",A83)-1))</f>
        <v>9</v>
      </c>
    </row>
    <row r="84" customFormat="false" ht="60" hidden="false" customHeight="true" outlineLevel="0" collapsed="false">
      <c r="A84" s="21" t="s">
        <v>664</v>
      </c>
      <c r="B84" s="21" t="s">
        <v>665</v>
      </c>
      <c r="C84" s="22" t="s">
        <v>66</v>
      </c>
      <c r="D84" s="23" t="s">
        <v>666</v>
      </c>
      <c r="E84" s="23" t="s">
        <v>667</v>
      </c>
      <c r="F84" s="23" t="s">
        <v>668</v>
      </c>
      <c r="G84" s="23" t="s">
        <v>669</v>
      </c>
      <c r="H84" s="23" t="s">
        <v>670</v>
      </c>
      <c r="I84" s="22"/>
      <c r="J84" s="24" t="s">
        <v>51</v>
      </c>
      <c r="K84" s="24"/>
      <c r="L84" s="24"/>
      <c r="M84" s="25"/>
      <c r="N84" s="23" t="n">
        <f aca="false">VALUE(LEFT(A84,FIND(".",A84)-1))</f>
        <v>9</v>
      </c>
    </row>
    <row r="85" customFormat="false" ht="72.75" hidden="false" customHeight="true" outlineLevel="0" collapsed="false">
      <c r="A85" s="21" t="s">
        <v>671</v>
      </c>
      <c r="B85" s="21" t="s">
        <v>672</v>
      </c>
      <c r="C85" s="22" t="s">
        <v>66</v>
      </c>
      <c r="D85" s="23" t="s">
        <v>673</v>
      </c>
      <c r="E85" s="23" t="s">
        <v>674</v>
      </c>
      <c r="F85" s="23" t="s">
        <v>675</v>
      </c>
      <c r="G85" s="23" t="s">
        <v>676</v>
      </c>
      <c r="H85" s="23" t="s">
        <v>677</v>
      </c>
      <c r="I85" s="22"/>
      <c r="J85" s="24" t="s">
        <v>51</v>
      </c>
      <c r="K85" s="24"/>
      <c r="L85" s="24"/>
      <c r="M85" s="25"/>
      <c r="N85" s="23" t="n">
        <f aca="false">VALUE(LEFT(A85,FIND(".",A85)-1))</f>
        <v>10</v>
      </c>
    </row>
    <row r="86" customFormat="false" ht="99" hidden="false" customHeight="true" outlineLevel="0" collapsed="false">
      <c r="A86" s="21" t="s">
        <v>678</v>
      </c>
      <c r="B86" s="21" t="s">
        <v>679</v>
      </c>
      <c r="C86" s="22" t="s">
        <v>68</v>
      </c>
      <c r="D86" s="23" t="s">
        <v>680</v>
      </c>
      <c r="E86" s="23" t="s">
        <v>681</v>
      </c>
      <c r="F86" s="23" t="s">
        <v>682</v>
      </c>
      <c r="G86" s="23" t="s">
        <v>683</v>
      </c>
      <c r="H86" s="23" t="s">
        <v>684</v>
      </c>
      <c r="I86" s="22" t="s">
        <v>607</v>
      </c>
      <c r="J86" s="24" t="s">
        <v>51</v>
      </c>
      <c r="K86" s="24"/>
      <c r="L86" s="24"/>
      <c r="M86" s="25"/>
      <c r="N86" s="23" t="n">
        <f aca="false">VALUE(LEFT(A86,FIND(".",A86)-1))</f>
        <v>10</v>
      </c>
    </row>
    <row r="87" customFormat="false" ht="60" hidden="false" customHeight="true" outlineLevel="0" collapsed="false">
      <c r="A87" s="21" t="s">
        <v>685</v>
      </c>
      <c r="B87" s="21" t="s">
        <v>686</v>
      </c>
      <c r="C87" s="22" t="s">
        <v>67</v>
      </c>
      <c r="D87" s="23" t="s">
        <v>687</v>
      </c>
      <c r="E87" s="23" t="s">
        <v>688</v>
      </c>
      <c r="F87" s="23" t="s">
        <v>689</v>
      </c>
      <c r="G87" s="23" t="s">
        <v>690</v>
      </c>
      <c r="H87" s="23" t="s">
        <v>691</v>
      </c>
      <c r="I87" s="22" t="s">
        <v>607</v>
      </c>
      <c r="J87" s="24" t="s">
        <v>51</v>
      </c>
      <c r="K87" s="24"/>
      <c r="L87" s="24"/>
      <c r="M87" s="25"/>
      <c r="N87" s="23" t="n">
        <f aca="false">VALUE(LEFT(A87,FIND(".",A87)-1))</f>
        <v>10</v>
      </c>
    </row>
    <row r="88" customFormat="false" ht="72.75" hidden="false" customHeight="true" outlineLevel="0" collapsed="false">
      <c r="A88" s="21" t="s">
        <v>692</v>
      </c>
      <c r="B88" s="21" t="s">
        <v>693</v>
      </c>
      <c r="C88" s="22" t="s">
        <v>66</v>
      </c>
      <c r="D88" s="23" t="s">
        <v>694</v>
      </c>
      <c r="E88" s="23" t="s">
        <v>695</v>
      </c>
      <c r="F88" s="23" t="s">
        <v>696</v>
      </c>
      <c r="G88" s="23" t="s">
        <v>697</v>
      </c>
      <c r="H88" s="23" t="s">
        <v>698</v>
      </c>
      <c r="I88" s="22" t="s">
        <v>607</v>
      </c>
      <c r="J88" s="24" t="s">
        <v>51</v>
      </c>
      <c r="K88" s="24"/>
      <c r="L88" s="24"/>
      <c r="M88" s="25"/>
      <c r="N88" s="23" t="n">
        <f aca="false">VALUE(LEFT(A88,FIND(".",A88)-1))</f>
        <v>10</v>
      </c>
    </row>
    <row r="89" customFormat="false" ht="60" hidden="false" customHeight="true" outlineLevel="0" collapsed="false">
      <c r="A89" s="21" t="s">
        <v>699</v>
      </c>
      <c r="B89" s="21" t="s">
        <v>700</v>
      </c>
      <c r="C89" s="22" t="s">
        <v>66</v>
      </c>
      <c r="D89" s="23" t="s">
        <v>701</v>
      </c>
      <c r="E89" s="23" t="s">
        <v>702</v>
      </c>
      <c r="F89" s="23" t="s">
        <v>703</v>
      </c>
      <c r="G89" s="23" t="s">
        <v>704</v>
      </c>
      <c r="H89" s="23" t="s">
        <v>705</v>
      </c>
      <c r="I89" s="22"/>
      <c r="J89" s="24" t="s">
        <v>51</v>
      </c>
      <c r="K89" s="24"/>
      <c r="L89" s="24"/>
      <c r="M89" s="25"/>
      <c r="N89" s="23" t="n">
        <f aca="false">VALUE(LEFT(A89,FIND(".",A89)-1))</f>
        <v>10</v>
      </c>
    </row>
  </sheetData>
  <sheetProtection sheet="true" formatColumns="false" formatRows="false" sort="false" autoFilter="false"/>
  <autoFilter ref="A1:M89"/>
  <conditionalFormatting sqref="J2:J89">
    <cfRule type="cellIs" priority="2" operator="equal" aboveAverage="0" equalAverage="0" bottom="0" percent="0" rank="0" text="" dxfId="4">
      <formula>"Conforming"</formula>
    </cfRule>
    <cfRule type="cellIs" priority="3" operator="equal" aboveAverage="0" equalAverage="0" bottom="0" percent="0" rank="0" text="" dxfId="5">
      <formula>"Minor gap"</formula>
    </cfRule>
    <cfRule type="cellIs" priority="4" operator="equal" aboveAverage="0" equalAverage="0" bottom="0" percent="0" rank="0" text="" dxfId="6">
      <formula>"Major gap"</formula>
    </cfRule>
    <cfRule type="cellIs" priority="5" operator="equal" aboveAverage="0" equalAverage="0" bottom="0" percent="0" rank="0" text="" dxfId="7">
      <formula>"Not applicable"</formula>
    </cfRule>
  </conditionalFormatting>
  <dataValidations count="1">
    <dataValidation allowBlank="false" error="Choose a status from the list." errorStyle="stop" errorTitle="Status" operator="between" showDropDown="false" showErrorMessage="false" showInputMessage="false" sqref="J2:J89" type="list">
      <formula1>"Conforming,Minor gap,Major gap,Not applicable,Not assessed"</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 2026 Cristian La Bella Consulting. All rights reserved. | cristianlabella.com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82"/>
    <col collapsed="false" customWidth="true" hidden="false" outlineLevel="0" max="4" min="4" style="0" width="22"/>
  </cols>
  <sheetData>
    <row r="2" customFormat="false" ht="19.7" hidden="false" customHeight="false" outlineLevel="0" collapsed="false">
      <c r="B2" s="1" t="s">
        <v>706</v>
      </c>
    </row>
    <row r="3" customFormat="false" ht="15" hidden="false" customHeight="false" outlineLevel="0" collapsed="false">
      <c r="B3" s="2" t="s">
        <v>707</v>
      </c>
    </row>
    <row r="5" customFormat="false" ht="15" hidden="false" customHeight="false" outlineLevel="0" collapsed="false">
      <c r="B5" s="3" t="s">
        <v>708</v>
      </c>
    </row>
    <row r="6" customFormat="false" ht="15" hidden="false" customHeight="false" outlineLevel="0" collapsed="false">
      <c r="B6" s="26" t="s">
        <v>709</v>
      </c>
      <c r="C6" s="26" t="s">
        <v>710</v>
      </c>
      <c r="D6" s="26" t="s">
        <v>711</v>
      </c>
    </row>
    <row r="7" customFormat="false" ht="45" hidden="false" customHeight="true" outlineLevel="0" collapsed="false">
      <c r="B7" s="21" t="s">
        <v>712</v>
      </c>
      <c r="C7" s="23" t="s">
        <v>713</v>
      </c>
      <c r="D7" s="23" t="s">
        <v>714</v>
      </c>
    </row>
    <row r="8" customFormat="false" ht="57.75" hidden="false" customHeight="true" outlineLevel="0" collapsed="false">
      <c r="B8" s="21" t="s">
        <v>715</v>
      </c>
      <c r="C8" s="23" t="s">
        <v>716</v>
      </c>
      <c r="D8" s="23" t="s">
        <v>717</v>
      </c>
    </row>
    <row r="9" customFormat="false" ht="31.5" hidden="false" customHeight="true" outlineLevel="0" collapsed="false">
      <c r="B9" s="21" t="s">
        <v>718</v>
      </c>
      <c r="C9" s="23" t="s">
        <v>719</v>
      </c>
      <c r="D9" s="23" t="s">
        <v>720</v>
      </c>
    </row>
    <row r="10" customFormat="false" ht="31.5" hidden="false" customHeight="true" outlineLevel="0" collapsed="false">
      <c r="B10" s="21" t="s">
        <v>354</v>
      </c>
      <c r="C10" s="23" t="s">
        <v>721</v>
      </c>
      <c r="D10" s="23" t="s">
        <v>722</v>
      </c>
    </row>
    <row r="11" customFormat="false" ht="45" hidden="false" customHeight="true" outlineLevel="0" collapsed="false">
      <c r="B11" s="21" t="s">
        <v>723</v>
      </c>
      <c r="C11" s="23" t="s">
        <v>724</v>
      </c>
      <c r="D11" s="23" t="s">
        <v>725</v>
      </c>
    </row>
    <row r="13" customFormat="false" ht="15" hidden="false" customHeight="false" outlineLevel="0" collapsed="false">
      <c r="B13" s="3" t="s">
        <v>726</v>
      </c>
    </row>
    <row r="14" customFormat="false" ht="15" hidden="false" customHeight="false" outlineLevel="0" collapsed="false">
      <c r="B14" s="26" t="s">
        <v>727</v>
      </c>
      <c r="C14" s="26" t="s">
        <v>728</v>
      </c>
      <c r="D14" s="26" t="s">
        <v>729</v>
      </c>
    </row>
    <row r="15" customFormat="false" ht="18.75" hidden="false" customHeight="true" outlineLevel="0" collapsed="false">
      <c r="B15" s="21" t="s">
        <v>106</v>
      </c>
      <c r="C15" s="23" t="s">
        <v>730</v>
      </c>
      <c r="D15" s="23" t="s">
        <v>731</v>
      </c>
    </row>
    <row r="16" customFormat="false" ht="18.75" hidden="false" customHeight="true" outlineLevel="0" collapsed="false">
      <c r="B16" s="21" t="s">
        <v>555</v>
      </c>
      <c r="C16" s="23" t="s">
        <v>732</v>
      </c>
      <c r="D16" s="23" t="s">
        <v>733</v>
      </c>
    </row>
    <row r="17" customFormat="false" ht="18.75" hidden="false" customHeight="true" outlineLevel="0" collapsed="false">
      <c r="B17" s="21" t="s">
        <v>310</v>
      </c>
      <c r="C17" s="23" t="s">
        <v>734</v>
      </c>
      <c r="D17" s="23" t="s">
        <v>735</v>
      </c>
    </row>
    <row r="18" customFormat="false" ht="18.75" hidden="false" customHeight="true" outlineLevel="0" collapsed="false">
      <c r="B18" s="21" t="s">
        <v>736</v>
      </c>
      <c r="C18" s="23" t="s">
        <v>737</v>
      </c>
      <c r="D18" s="23" t="s">
        <v>592</v>
      </c>
    </row>
    <row r="19" customFormat="false" ht="18.75" hidden="false" customHeight="true" outlineLevel="0" collapsed="false">
      <c r="B19" s="21" t="s">
        <v>738</v>
      </c>
      <c r="C19" s="23" t="s">
        <v>739</v>
      </c>
      <c r="D19" s="23" t="s">
        <v>592</v>
      </c>
    </row>
    <row r="20" customFormat="false" ht="18.75" hidden="false" customHeight="true" outlineLevel="0" collapsed="false">
      <c r="B20" s="21" t="s">
        <v>740</v>
      </c>
      <c r="C20" s="23" t="s">
        <v>741</v>
      </c>
      <c r="D20" s="23" t="s">
        <v>742</v>
      </c>
    </row>
    <row r="21" customFormat="false" ht="18.75" hidden="false" customHeight="true" outlineLevel="0" collapsed="false">
      <c r="B21" s="21" t="s">
        <v>437</v>
      </c>
      <c r="C21" s="23" t="s">
        <v>743</v>
      </c>
      <c r="D21" s="23" t="s">
        <v>744</v>
      </c>
    </row>
    <row r="22" customFormat="false" ht="18.75" hidden="false" customHeight="true" outlineLevel="0" collapsed="false">
      <c r="B22" s="21" t="s">
        <v>607</v>
      </c>
      <c r="C22" s="23" t="s">
        <v>745</v>
      </c>
      <c r="D22" s="23" t="s">
        <v>746</v>
      </c>
    </row>
    <row r="23" customFormat="false" ht="18.75" hidden="false" customHeight="true" outlineLevel="0" collapsed="false">
      <c r="B23" s="21" t="s">
        <v>563</v>
      </c>
      <c r="C23" s="23" t="s">
        <v>747</v>
      </c>
      <c r="D23" s="23" t="s">
        <v>556</v>
      </c>
    </row>
    <row r="24" customFormat="false" ht="18.75" hidden="false" customHeight="true" outlineLevel="0" collapsed="false">
      <c r="B24" s="21" t="s">
        <v>748</v>
      </c>
      <c r="C24" s="23" t="s">
        <v>749</v>
      </c>
      <c r="D24" s="23" t="s">
        <v>750</v>
      </c>
    </row>
    <row r="25" customFormat="false" ht="18.75" hidden="false" customHeight="true" outlineLevel="0" collapsed="false">
      <c r="B25" s="21" t="s">
        <v>445</v>
      </c>
      <c r="C25" s="23" t="s">
        <v>751</v>
      </c>
      <c r="D25" s="23" t="s">
        <v>752</v>
      </c>
    </row>
    <row r="26" customFormat="false" ht="18.75" hidden="false" customHeight="true" outlineLevel="0" collapsed="false">
      <c r="B26" s="21" t="s">
        <v>533</v>
      </c>
      <c r="C26" s="23" t="s">
        <v>753</v>
      </c>
      <c r="D26" s="23" t="s">
        <v>754</v>
      </c>
    </row>
    <row r="27" customFormat="false" ht="31.5" hidden="false" customHeight="true" outlineLevel="0" collapsed="false">
      <c r="B27" s="21" t="s">
        <v>755</v>
      </c>
      <c r="C27" s="23" t="s">
        <v>756</v>
      </c>
      <c r="D27" s="23" t="s">
        <v>757</v>
      </c>
    </row>
    <row r="29" customFormat="false" ht="30" hidden="false" customHeight="true" outlineLevel="0" collapsed="false">
      <c r="B29" s="27" t="s">
        <v>758</v>
      </c>
      <c r="C29" s="27"/>
      <c r="D29" s="27"/>
    </row>
  </sheetData>
  <sheetProtection sheet="true" formatColumns="false" formatRows="false" sort="false" autoFilter="false"/>
  <mergeCells count="1">
    <mergeCell ref="B29:D29"/>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 2026 Cristian La Bella Consulting. All rights reserved. | cristianlabella.com</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2" customFormat="false" ht="19.7" hidden="false" customHeight="false" outlineLevel="0" collapsed="false">
      <c r="B2" s="1" t="s">
        <v>759</v>
      </c>
    </row>
    <row r="4" customFormat="false" ht="15" hidden="false" customHeight="false" outlineLevel="0" collapsed="false">
      <c r="B4" s="3" t="s">
        <v>760</v>
      </c>
    </row>
    <row r="5" customFormat="false" ht="16.5" hidden="false" customHeight="true" outlineLevel="0" collapsed="false">
      <c r="B5" s="4" t="s">
        <v>761</v>
      </c>
      <c r="C5" s="5" t="s">
        <v>762</v>
      </c>
    </row>
    <row r="6" customFormat="false" ht="16.5" hidden="false" customHeight="true" outlineLevel="0" collapsed="false">
      <c r="B6" s="4" t="s">
        <v>763</v>
      </c>
      <c r="C6" s="5" t="s">
        <v>764</v>
      </c>
    </row>
    <row r="7" customFormat="false" ht="16.5" hidden="false" customHeight="true" outlineLevel="0" collapsed="false">
      <c r="B7" s="4" t="s">
        <v>765</v>
      </c>
      <c r="C7" s="5" t="s">
        <v>766</v>
      </c>
    </row>
    <row r="8" customFormat="false" ht="16.5" hidden="false" customHeight="true" outlineLevel="0" collapsed="false">
      <c r="B8" s="4" t="s">
        <v>767</v>
      </c>
      <c r="C8" s="5" t="s">
        <v>768</v>
      </c>
    </row>
    <row r="9" customFormat="false" ht="15" hidden="false" customHeight="false" outlineLevel="0" collapsed="false">
      <c r="B9" s="3" t="s">
        <v>769</v>
      </c>
    </row>
    <row r="10" customFormat="false" ht="30" hidden="false" customHeight="true" outlineLevel="0" collapsed="false">
      <c r="B10" s="4" t="s">
        <v>770</v>
      </c>
      <c r="C10" s="5" t="s">
        <v>771</v>
      </c>
    </row>
    <row r="11" customFormat="false" ht="30" hidden="false" customHeight="true" outlineLevel="0" collapsed="false">
      <c r="B11" s="4" t="s">
        <v>772</v>
      </c>
      <c r="C11" s="5" t="s">
        <v>773</v>
      </c>
    </row>
    <row r="12" customFormat="false" ht="16.5" hidden="false" customHeight="true" outlineLevel="0" collapsed="false">
      <c r="B12" s="4" t="s">
        <v>774</v>
      </c>
      <c r="C12" s="5" t="s">
        <v>775</v>
      </c>
    </row>
    <row r="13" customFormat="false" ht="16.5" hidden="false" customHeight="true" outlineLevel="0" collapsed="false">
      <c r="B13" s="4" t="s">
        <v>776</v>
      </c>
      <c r="C13" s="5" t="s">
        <v>777</v>
      </c>
    </row>
    <row r="14" customFormat="false" ht="15" hidden="false" customHeight="false" outlineLevel="0" collapsed="false">
      <c r="B14" s="3" t="s">
        <v>778</v>
      </c>
    </row>
    <row r="15" customFormat="false" ht="30" hidden="false" customHeight="true" outlineLevel="0" collapsed="false">
      <c r="B15" s="4" t="s">
        <v>779</v>
      </c>
      <c r="C15" s="5" t="s">
        <v>780</v>
      </c>
    </row>
    <row r="16" customFormat="false" ht="30" hidden="false" customHeight="true" outlineLevel="0" collapsed="false">
      <c r="B16" s="4" t="s">
        <v>781</v>
      </c>
      <c r="C16" s="5" t="s">
        <v>782</v>
      </c>
    </row>
    <row r="17" customFormat="false" ht="30" hidden="false" customHeight="true" outlineLevel="0" collapsed="false">
      <c r="B17" s="4" t="s">
        <v>783</v>
      </c>
      <c r="C17" s="5" t="s">
        <v>784</v>
      </c>
    </row>
    <row r="18" customFormat="false" ht="30" hidden="false" customHeight="true" outlineLevel="0" collapsed="false">
      <c r="B18" s="4" t="s">
        <v>785</v>
      </c>
      <c r="C18" s="5" t="s">
        <v>786</v>
      </c>
    </row>
    <row r="20" customFormat="false" ht="15" hidden="false" customHeight="false" outlineLevel="0" collapsed="false">
      <c r="B20" s="7" t="s">
        <v>40</v>
      </c>
    </row>
  </sheetData>
  <sheetProtection sheet="true" formatColumns="false" formatRows="false" sort="false" autoFilter="false"/>
  <printOptions headings="false" gridLines="false" gridLinesSet="true" horizontalCentered="fals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 2026 Cristian La Bella Consulting. All rights reserved. | cristianlabella.com</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2026-10-19T06:19:32Z</dcterms:created>
  <dc:creator>Cristian La Bella</dc:creator>
  <dc:description/>
  <dc:language>en-US</dc:language>
  <cp:lastModifiedBy>Cristian La Bella</cp:lastModifiedBy>
  <dcterms:modified xsi:type="dcterms:W3CDTF">2026-10-19T06:19:32Z</dcterms:modified>
  <cp:revision>0</cp:revision>
  <dc:subject>AS9100 Rev D readiness assessment field tool</dc:subject>
  <dc:title>AS9100D Gap Assessment Workbook v1.0</dc:title>
</cp:coreProperties>
</file>

<file path=docProps/custom.xml><?xml version="1.0" encoding="utf-8"?>
<Properties xmlns="http://schemas.openxmlformats.org/officeDocument/2006/custom-properties" xmlns:vt="http://schemas.openxmlformats.org/officeDocument/2006/docPropsVTypes"/>
</file>